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Config" sheetId="1" state="visible" r:id="rId1"/>
    <sheet xmlns:r="http://schemas.openxmlformats.org/officeDocument/2006/relationships" name="📋 Site Cover" sheetId="2" state="visible" r:id="rId2"/>
    <sheet xmlns:r="http://schemas.openxmlformats.org/officeDocument/2006/relationships" name="📝 Visit Log" sheetId="3" state="visible" r:id="rId3"/>
    <sheet xmlns:r="http://schemas.openxmlformats.org/officeDocument/2006/relationships" name="🌐 Network Points" sheetId="4" state="visible" r:id="rId4"/>
    <sheet xmlns:r="http://schemas.openxmlformats.org/officeDocument/2006/relationships" name="🖥 Equipment Register" sheetId="5" state="visible" r:id="rId5"/>
    <sheet xmlns:r="http://schemas.openxmlformats.org/officeDocument/2006/relationships" name="🔐 Credentials" sheetId="6" state="visible" r:id="rId6"/>
    <sheet xmlns:r="http://schemas.openxmlformats.org/officeDocument/2006/relationships" name="📌 Further Requests" sheetId="7" state="visible" r:id="rId7"/>
    <sheet xmlns:r="http://schemas.openxmlformats.org/officeDocument/2006/relationships" name="📅 Weekly Report" sheetId="8" state="visible" r:id="rId8"/>
    <sheet xmlns:r="http://schemas.openxmlformats.org/officeDocument/2006/relationships" name="📆 Monthly Report" sheetId="9" state="visible" r:id="rId9"/>
  </sheets>
  <definedNames/>
  <calcPr calcId="124519" fullCalcOnLoad="1"/>
</workbook>
</file>

<file path=xl/styles.xml><?xml version="1.0" encoding="utf-8"?>
<styleSheet xmlns="http://schemas.openxmlformats.org/spreadsheetml/2006/main">
  <numFmts count="2">
    <numFmt numFmtId="164" formatCode="DD-MMMM-YYYY"/>
    <numFmt numFmtId="165" formatCode="DD-MMM-YYYY"/>
  </numFmts>
  <fonts count="33">
    <font>
      <name val="Calibri"/>
      <family val="2"/>
      <color theme="1"/>
      <sz val="11"/>
      <scheme val="minor"/>
    </font>
    <font>
      <name val="Arial"/>
      <b val="1"/>
      <color rgb="00F8C471"/>
      <sz val="14"/>
    </font>
    <font>
      <name val="Arial"/>
      <i val="1"/>
      <color rgb="00FFFFFF"/>
      <sz val="9"/>
    </font>
    <font>
      <name val="Arial"/>
      <b val="1"/>
      <color rgb="00FFFFFF"/>
      <sz val="9"/>
    </font>
    <font>
      <name val="Arial"/>
      <sz val="9"/>
    </font>
    <font>
      <name val="Arial"/>
      <i val="1"/>
      <color rgb="00BBBBBB"/>
      <sz val="9"/>
    </font>
    <font>
      <name val="Arial"/>
      <color rgb="001F3864"/>
      <sz val="8"/>
    </font>
    <font>
      <name val="Arial"/>
      <b val="1"/>
      <color rgb="00FFFFFF"/>
      <sz val="18"/>
    </font>
    <font>
      <name val="Arial"/>
      <b val="1"/>
      <color rgb="00F4B942"/>
      <sz val="9"/>
    </font>
    <font>
      <name val="Arial"/>
      <b val="1"/>
      <color rgb="001F3864"/>
      <sz val="9"/>
    </font>
    <font>
      <name val="Arial"/>
      <b val="1"/>
      <color rgb="00FFFFFF"/>
      <sz val="10"/>
    </font>
    <font>
      <name val="Arial"/>
      <b val="1"/>
      <color rgb="00FFFFFF"/>
      <sz val="11"/>
    </font>
    <font>
      <name val="Arial"/>
      <i val="1"/>
      <color rgb="00404040"/>
      <sz val="8"/>
    </font>
    <font>
      <name val="Arial"/>
      <i val="1"/>
      <color rgb="00AAAAAA"/>
      <sz val="8"/>
    </font>
    <font>
      <name val="Arial"/>
      <b val="1"/>
      <color rgb="00FFFFFF"/>
      <sz val="16"/>
    </font>
    <font>
      <name val="Arial"/>
      <i val="1"/>
      <color rgb="00F4B942"/>
      <sz val="9"/>
    </font>
    <font>
      <name val="Arial"/>
      <color rgb="00404040"/>
      <sz val="8"/>
    </font>
    <font>
      <name val="Arial"/>
      <i val="1"/>
      <color rgb="007030A0"/>
      <sz val="8"/>
    </font>
    <font>
      <name val="Arial"/>
      <b val="1"/>
      <color rgb="002E75B6"/>
      <sz val="9"/>
    </font>
    <font>
      <name val="Arial"/>
      <i val="1"/>
      <color rgb="0017A589"/>
      <sz val="9"/>
    </font>
    <font>
      <name val="Arial"/>
      <b val="1"/>
      <color rgb="0017A589"/>
      <sz val="9"/>
    </font>
    <font>
      <name val="Arial"/>
      <b val="1"/>
      <color rgb="00F8C471"/>
      <sz val="16"/>
    </font>
    <font>
      <name val="Arial"/>
      <b val="1"/>
      <color rgb="001F3864"/>
      <sz val="10"/>
    </font>
    <font>
      <name val="Arial"/>
      <sz val="10"/>
    </font>
    <font>
      <name val="Arial"/>
      <b val="1"/>
      <color rgb="00FFFFFF"/>
      <sz val="8"/>
    </font>
    <font>
      <name val="Arial"/>
      <b val="1"/>
      <color rgb="002E75B6"/>
      <sz val="14"/>
    </font>
    <font>
      <name val="Arial"/>
      <b val="1"/>
      <color rgb="0070AD47"/>
      <sz val="14"/>
    </font>
    <font>
      <name val="Arial"/>
      <b val="1"/>
      <color rgb="00C00000"/>
      <sz val="14"/>
    </font>
    <font>
      <name val="Arial"/>
      <b val="1"/>
      <color rgb="00ED7D31"/>
      <sz val="14"/>
    </font>
    <font>
      <name val="Arial"/>
      <b val="1"/>
      <color rgb="007030A0"/>
      <sz val="14"/>
    </font>
    <font>
      <name val="Arial"/>
      <b val="1"/>
      <color rgb="0017A589"/>
      <sz val="14"/>
    </font>
    <font>
      <name val="Arial"/>
      <b val="1"/>
      <color rgb="007B0000"/>
      <sz val="9"/>
    </font>
    <font>
      <name val="Arial"/>
      <color rgb="007B0000"/>
      <sz val="8"/>
    </font>
  </fonts>
  <fills count="31">
    <fill>
      <patternFill/>
    </fill>
    <fill>
      <patternFill patternType="gray125"/>
    </fill>
    <fill>
      <patternFill patternType="solid">
        <fgColor rgb="007030A0"/>
      </patternFill>
    </fill>
    <fill>
      <patternFill patternType="solid">
        <fgColor rgb="002E75B6"/>
      </patternFill>
    </fill>
    <fill>
      <patternFill patternType="solid">
        <fgColor rgb="0070AD47"/>
      </patternFill>
    </fill>
    <fill>
      <patternFill patternType="solid">
        <fgColor rgb="0017A589"/>
      </patternFill>
    </fill>
    <fill>
      <patternFill patternType="solid">
        <fgColor rgb="00C00000"/>
      </patternFill>
    </fill>
    <fill>
      <patternFill patternType="solid">
        <fgColor rgb="00ED7D31"/>
      </patternFill>
    </fill>
    <fill>
      <patternFill patternType="solid">
        <fgColor rgb="000D2137"/>
      </patternFill>
    </fill>
    <fill>
      <patternFill patternType="solid">
        <fgColor rgb="00444444"/>
      </patternFill>
    </fill>
    <fill>
      <patternFill patternType="solid">
        <fgColor rgb="00888888"/>
      </patternFill>
    </fill>
    <fill>
      <patternFill patternType="solid">
        <fgColor rgb="00FFFFFF"/>
      </patternFill>
    </fill>
    <fill>
      <patternFill patternType="solid">
        <fgColor rgb="00E8DAEF"/>
      </patternFill>
    </fill>
    <fill>
      <patternFill patternType="solid">
        <fgColor rgb="00E2EFDA"/>
      </patternFill>
    </fill>
    <fill>
      <patternFill patternType="solid">
        <fgColor rgb="00D1F2EB"/>
      </patternFill>
    </fill>
    <fill>
      <patternFill patternType="solid">
        <fgColor rgb="00FADBD8"/>
      </patternFill>
    </fill>
    <fill>
      <patternFill patternType="solid">
        <fgColor rgb="00FDEBD0"/>
      </patternFill>
    </fill>
    <fill>
      <patternFill patternType="solid">
        <fgColor rgb="00DEEAF1"/>
      </patternFill>
    </fill>
    <fill>
      <patternFill patternType="solid">
        <fgColor rgb="00F2F2F2"/>
      </patternFill>
    </fill>
    <fill>
      <patternFill patternType="solid">
        <fgColor rgb="00FFF2CC"/>
      </patternFill>
    </fill>
    <fill>
      <patternFill patternType="solid">
        <fgColor rgb="001F3864"/>
      </patternFill>
    </fill>
    <fill>
      <patternFill patternType="solid">
        <fgColor rgb="00BDD7EE"/>
      </patternFill>
    </fill>
    <fill>
      <patternFill patternType="solid">
        <fgColor rgb="007B0000"/>
      </patternFill>
    </fill>
    <fill>
      <patternFill patternType="solid">
        <fgColor rgb="005D0000"/>
      </patternFill>
    </fill>
    <fill>
      <patternFill patternType="solid">
        <fgColor rgb="00FFF3CD"/>
      </patternFill>
    </fill>
    <fill>
      <patternFill patternType="solid">
        <fgColor rgb="001A5276"/>
      </patternFill>
    </fill>
    <fill>
      <patternFill patternType="solid">
        <fgColor rgb="00EAF2FF"/>
      </patternFill>
    </fill>
    <fill>
      <patternFill patternType="solid">
        <fgColor rgb="008E44AD"/>
      </patternFill>
    </fill>
    <fill>
      <patternFill patternType="solid">
        <fgColor rgb="00154360"/>
      </patternFill>
    </fill>
    <fill>
      <patternFill patternType="solid">
        <fgColor rgb="00D5E8F3"/>
      </patternFill>
    </fill>
    <fill>
      <patternFill patternType="solid">
        <fgColor rgb="001E5C2E"/>
      </patternFill>
    </fill>
  </fills>
  <borders count="23">
    <border>
      <left/>
      <right/>
      <top/>
      <bottom/>
      <diagonal/>
    </border>
    <border>
      <left style="medium">
        <color rgb="001F3864"/>
      </left>
      <right style="medium">
        <color rgb="001F3864"/>
      </right>
      <top style="medium">
        <color rgb="001F3864"/>
      </top>
      <bottom style="medium">
        <color rgb="001F3864"/>
      </bottom>
    </border>
    <border>
      <left style="thin">
        <color rgb="00BBBBBB"/>
      </left>
      <right style="thin">
        <color rgb="00BBBBBB"/>
      </right>
      <top style="thin">
        <color rgb="00BBBBBB"/>
      </top>
      <bottom style="thin">
        <color rgb="00BBBBBB"/>
      </bottom>
    </border>
    <border>
      <bottom style="medium">
        <color rgb="002E75B6"/>
      </bottom>
    </border>
    <border>
      <bottom style="medium">
        <color rgb="0017A589"/>
      </bottom>
    </border>
    <border>
      <bottom style="medium">
        <color rgb="00ED7D31"/>
      </bottom>
    </border>
    <border>
      <bottom style="medium">
        <color rgb="00F4B942"/>
      </bottom>
    </border>
    <border>
      <left/>
      <right/>
      <top style="medium">
        <color rgb="001F3864"/>
      </top>
      <bottom/>
      <diagonal/>
    </border>
    <border>
      <left/>
      <right style="medium">
        <color rgb="001F3864"/>
      </right>
      <top style="medium">
        <color rgb="001F3864"/>
      </top>
      <bottom/>
      <diagonal/>
    </border>
    <border>
      <left/>
      <right/>
      <top style="medium">
        <color rgb="001F3864"/>
      </top>
      <bottom style="medium">
        <color rgb="001F3864"/>
      </bottom>
      <diagonal/>
    </border>
    <border>
      <left/>
      <right style="medium">
        <color rgb="001F3864"/>
      </right>
      <top style="medium">
        <color rgb="001F3864"/>
      </top>
      <bottom style="medium">
        <color rgb="001F3864"/>
      </bottom>
      <diagonal/>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
      <left/>
      <right/>
      <top/>
      <bottom style="medium">
        <color rgb="002E75B6"/>
      </bottom>
      <diagonal/>
    </border>
    <border>
      <left style="medium">
        <color rgb="001F3864"/>
      </left>
      <right/>
      <top/>
      <bottom/>
      <diagonal/>
    </border>
    <border>
      <left/>
      <right style="medium">
        <color rgb="001F3864"/>
      </right>
      <top/>
      <bottom/>
      <diagonal/>
    </border>
    <border>
      <left style="medium">
        <color rgb="001F3864"/>
      </left>
      <right/>
      <top/>
      <bottom style="medium">
        <color rgb="001F3864"/>
      </bottom>
      <diagonal/>
    </border>
    <border>
      <left/>
      <right/>
      <top/>
      <bottom style="medium">
        <color rgb="001F3864"/>
      </bottom>
      <diagonal/>
    </border>
    <border>
      <left/>
      <right style="medium">
        <color rgb="001F3864"/>
      </right>
      <top/>
      <bottom style="medium">
        <color rgb="001F3864"/>
      </bottom>
      <diagonal/>
    </border>
    <border>
      <left/>
      <right/>
      <top/>
      <bottom style="medium">
        <color rgb="00ED7D31"/>
      </bottom>
      <diagonal/>
    </border>
    <border>
      <left/>
      <right/>
      <top/>
      <bottom style="medium">
        <color rgb="00F4B942"/>
      </bottom>
      <diagonal/>
    </border>
  </borders>
  <cellStyleXfs count="1">
    <xf numFmtId="0" fontId="0" fillId="0" borderId="0"/>
  </cellStyleXfs>
  <cellXfs count="148">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3" fillId="20" borderId="1" applyAlignment="1" pivotButton="0" quotePrefix="0" xfId="0">
      <alignment horizontal="center" vertical="center" wrapText="1"/>
    </xf>
    <xf numFmtId="0" fontId="4" fillId="11" borderId="2" applyAlignment="1" pivotButton="0" quotePrefix="0" xfId="0">
      <alignment horizontal="left" vertical="center" wrapText="1"/>
    </xf>
    <xf numFmtId="0" fontId="6" fillId="11" borderId="2" applyAlignment="1" pivotButton="0" quotePrefix="0" xfId="0">
      <alignment horizontal="left" vertical="center" wrapText="1"/>
    </xf>
    <xf numFmtId="0" fontId="4" fillId="12" borderId="2" applyAlignment="1" pivotButton="0" quotePrefix="0" xfId="0">
      <alignment horizontal="left" vertical="center" wrapText="1"/>
    </xf>
    <xf numFmtId="0" fontId="4" fillId="13" borderId="2" applyAlignment="1" pivotButton="0" quotePrefix="0" xfId="0">
      <alignment horizontal="left" vertical="center" wrapText="1"/>
    </xf>
    <xf numFmtId="0" fontId="4" fillId="14" borderId="2" applyAlignment="1" pivotButton="0" quotePrefix="0" xfId="0">
      <alignment horizontal="left" vertical="center" wrapText="1"/>
    </xf>
    <xf numFmtId="0" fontId="4" fillId="15" borderId="2" applyAlignment="1" pivotButton="0" quotePrefix="0" xfId="0">
      <alignment horizontal="left" vertical="center" wrapText="1"/>
    </xf>
    <xf numFmtId="0" fontId="4" fillId="16" borderId="2" applyAlignment="1" pivotButton="0" quotePrefix="0" xfId="0">
      <alignment horizontal="left" vertical="center" wrapText="1"/>
    </xf>
    <xf numFmtId="0" fontId="4" fillId="17" borderId="2" applyAlignment="1" pivotButton="0" quotePrefix="0" xfId="0">
      <alignment horizontal="left" vertical="center" wrapText="1"/>
    </xf>
    <xf numFmtId="0" fontId="4" fillId="18" borderId="2" applyAlignment="1" pivotButton="0" quotePrefix="0" xfId="0">
      <alignment horizontal="left" vertical="center" wrapText="1"/>
    </xf>
    <xf numFmtId="0" fontId="4" fillId="19" borderId="2" applyAlignment="1" pivotButton="0" quotePrefix="0" xfId="0">
      <alignment horizontal="left" vertical="center" wrapText="1"/>
    </xf>
    <xf numFmtId="0" fontId="6" fillId="17" borderId="2" applyAlignment="1" pivotButton="0" quotePrefix="0" xfId="0">
      <alignment horizontal="left" vertical="center" wrapText="1"/>
    </xf>
    <xf numFmtId="0" fontId="5" fillId="11" borderId="2" applyAlignment="1" pivotButton="0" quotePrefix="0" xfId="0">
      <alignment horizontal="left" vertical="center" wrapText="1"/>
    </xf>
    <xf numFmtId="0" fontId="5" fillId="12" borderId="2" applyAlignment="1" pivotButton="0" quotePrefix="0" xfId="0">
      <alignment horizontal="left" vertical="center" wrapText="1"/>
    </xf>
    <xf numFmtId="0" fontId="5" fillId="13" borderId="2" applyAlignment="1" pivotButton="0" quotePrefix="0" xfId="0">
      <alignment horizontal="left" vertical="center" wrapText="1"/>
    </xf>
    <xf numFmtId="0" fontId="7" fillId="20" borderId="0" applyAlignment="1" pivotButton="0" quotePrefix="0" xfId="0">
      <alignment horizontal="center" vertical="center" wrapText="1"/>
    </xf>
    <xf numFmtId="0" fontId="8" fillId="3" borderId="0" applyAlignment="1" pivotButton="0" quotePrefix="0" xfId="0">
      <alignment horizontal="center" vertical="center" wrapText="1"/>
    </xf>
    <xf numFmtId="0" fontId="9" fillId="17" borderId="2" applyAlignment="1" pivotButton="0" quotePrefix="0" xfId="0">
      <alignment horizontal="right" vertical="center" wrapText="1"/>
    </xf>
    <xf numFmtId="0" fontId="4" fillId="11" borderId="3" applyAlignment="1" pivotButton="0" quotePrefix="0" xfId="0">
      <alignment horizontal="left" vertical="center" wrapText="1"/>
    </xf>
    <xf numFmtId="164" fontId="4" fillId="11" borderId="3" applyAlignment="1" pivotButton="0" quotePrefix="0" xfId="0">
      <alignment horizontal="left" vertical="center" wrapText="1"/>
    </xf>
    <xf numFmtId="0" fontId="9" fillId="0" borderId="0" applyAlignment="1" pivotButton="0" quotePrefix="0" xfId="0">
      <alignment horizontal="right" vertical="center" wrapText="1"/>
    </xf>
    <xf numFmtId="0" fontId="0" fillId="11" borderId="3" pivotButton="0" quotePrefix="0" xfId="0"/>
    <xf numFmtId="0" fontId="10" fillId="3" borderId="0" applyAlignment="1" pivotButton="0" quotePrefix="0" xfId="0">
      <alignment horizontal="center" vertical="center" wrapText="1"/>
    </xf>
    <xf numFmtId="0" fontId="10" fillId="20" borderId="0" applyAlignment="1" pivotButton="0" quotePrefix="0" xfId="0">
      <alignment horizontal="center" vertical="center" wrapText="1"/>
    </xf>
    <xf numFmtId="0" fontId="0" fillId="11" borderId="1" applyAlignment="1" pivotButton="0" quotePrefix="0" xfId="0">
      <alignment horizontal="left" vertical="center" wrapText="1"/>
    </xf>
    <xf numFmtId="0" fontId="11" fillId="20"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17" borderId="1" applyAlignment="1" pivotButton="0" quotePrefix="0" xfId="0">
      <alignment horizontal="left" vertical="center" wrapText="1"/>
    </xf>
    <xf numFmtId="0" fontId="4" fillId="13" borderId="1" applyAlignment="1" pivotButton="0" quotePrefix="0" xfId="0">
      <alignment horizontal="left" vertical="center" wrapText="1"/>
    </xf>
    <xf numFmtId="0" fontId="3" fillId="20" borderId="0" applyAlignment="1" pivotButton="0" quotePrefix="0" xfId="0">
      <alignment horizontal="center" vertical="center" wrapText="1"/>
    </xf>
    <xf numFmtId="0" fontId="12" fillId="18" borderId="1" applyAlignment="1" pivotButton="0" quotePrefix="0" xfId="0">
      <alignment horizontal="center" vertical="center" wrapText="1"/>
    </xf>
    <xf numFmtId="0" fontId="13" fillId="20" borderId="0" applyAlignment="1" pivotButton="0" quotePrefix="0" xfId="0">
      <alignment horizontal="center" vertical="center" wrapText="1"/>
    </xf>
    <xf numFmtId="0" fontId="14" fillId="20" borderId="0" applyAlignment="1" pivotButton="0" quotePrefix="0" xfId="0">
      <alignment horizontal="center" vertical="center" wrapText="1"/>
    </xf>
    <xf numFmtId="0" fontId="15" fillId="3" borderId="0" applyAlignment="1" pivotButton="0" quotePrefix="0" xfId="0">
      <alignment horizontal="center" vertical="center" wrapText="1"/>
    </xf>
    <xf numFmtId="165" fontId="4" fillId="0" borderId="3" pivotButton="0" quotePrefix="0" xfId="0"/>
    <xf numFmtId="49" fontId="4" fillId="0" borderId="3" pivotButton="0" quotePrefix="0" xfId="0"/>
    <xf numFmtId="0" fontId="0" fillId="3" borderId="0" pivotButton="0" quotePrefix="0" xfId="0"/>
    <xf numFmtId="0" fontId="16" fillId="17" borderId="0" applyAlignment="1" pivotButton="0" quotePrefix="0" xfId="0">
      <alignment horizontal="center" vertical="center" wrapText="1"/>
    </xf>
    <xf numFmtId="0" fontId="0" fillId="21" borderId="0" pivotButton="0" quotePrefix="0" xfId="0"/>
    <xf numFmtId="0" fontId="17" fillId="12" borderId="0" applyAlignment="1" pivotButton="0" quotePrefix="0" xfId="0">
      <alignment horizontal="center" vertical="center" wrapText="1"/>
    </xf>
    <xf numFmtId="0" fontId="18" fillId="11" borderId="2" applyAlignment="1" pivotButton="0" quotePrefix="0" xfId="0">
      <alignment horizontal="center" vertical="center" wrapText="1"/>
    </xf>
    <xf numFmtId="0" fontId="19" fillId="11" borderId="2" applyAlignment="1" pivotButton="0" quotePrefix="0" xfId="0">
      <alignment horizontal="left" vertical="center" wrapText="1"/>
    </xf>
    <xf numFmtId="4" fontId="4" fillId="11" borderId="2" applyAlignment="1" pivotButton="0" quotePrefix="0" xfId="0">
      <alignment horizontal="left" vertical="center" wrapText="1"/>
    </xf>
    <xf numFmtId="165" fontId="4" fillId="11" borderId="2" applyAlignment="1" pivotButton="0" quotePrefix="0" xfId="0">
      <alignment horizontal="left" vertical="center" wrapText="1"/>
    </xf>
    <xf numFmtId="0" fontId="18" fillId="17" borderId="2" applyAlignment="1" pivotButton="0" quotePrefix="0" xfId="0">
      <alignment horizontal="center" vertical="center" wrapText="1"/>
    </xf>
    <xf numFmtId="0" fontId="19" fillId="17" borderId="2" applyAlignment="1" pivotButton="0" quotePrefix="0" xfId="0">
      <alignment horizontal="left" vertical="center" wrapText="1"/>
    </xf>
    <xf numFmtId="4" fontId="4" fillId="17" borderId="2" applyAlignment="1" pivotButton="0" quotePrefix="0" xfId="0">
      <alignment horizontal="left" vertical="center" wrapText="1"/>
    </xf>
    <xf numFmtId="165" fontId="4" fillId="17" borderId="2" applyAlignment="1" pivotButton="0" quotePrefix="0" xfId="0">
      <alignment horizontal="left" vertical="center" wrapText="1"/>
    </xf>
    <xf numFmtId="0" fontId="9" fillId="17" borderId="1" applyAlignment="1" pivotButton="0" quotePrefix="0" xfId="0">
      <alignment horizontal="right" vertical="center" wrapText="1"/>
    </xf>
    <xf numFmtId="0" fontId="9" fillId="17" borderId="1" applyAlignment="1" pivotButton="0" quotePrefix="0" xfId="0">
      <alignment horizontal="center" vertical="center" wrapText="1"/>
    </xf>
    <xf numFmtId="4" fontId="9" fillId="17" borderId="1" applyAlignment="1" pivotButton="0" quotePrefix="0" xfId="0">
      <alignment horizontal="center" vertical="center" wrapText="1"/>
    </xf>
    <xf numFmtId="0" fontId="14" fillId="5" borderId="0" applyAlignment="1" pivotButton="0" quotePrefix="0" xfId="0">
      <alignment horizontal="center" vertical="center" wrapText="1"/>
    </xf>
    <xf numFmtId="0" fontId="15" fillId="5" borderId="0" applyAlignment="1" pivotButton="0" quotePrefix="0" xfId="0">
      <alignment horizontal="center" vertical="center" wrapText="1"/>
    </xf>
    <xf numFmtId="0" fontId="20" fillId="0" borderId="0" pivotButton="0" quotePrefix="0" xfId="0"/>
    <xf numFmtId="165" fontId="4" fillId="0" borderId="4" pivotButton="0" quotePrefix="0" xfId="0"/>
    <xf numFmtId="49" fontId="4" fillId="0" borderId="4" pivotButton="0" quotePrefix="0" xfId="0"/>
    <xf numFmtId="0" fontId="0" fillId="5" borderId="0" pivotButton="0" quotePrefix="0" xfId="0"/>
    <xf numFmtId="0" fontId="16" fillId="14" borderId="0" applyAlignment="1" pivotButton="0" quotePrefix="0" xfId="0">
      <alignment horizontal="center" vertical="center" wrapText="1"/>
    </xf>
    <xf numFmtId="0" fontId="18" fillId="14" borderId="2" applyAlignment="1" pivotButton="0" quotePrefix="0" xfId="0">
      <alignment horizontal="center" vertical="center" wrapText="1"/>
    </xf>
    <xf numFmtId="0" fontId="3" fillId="5" borderId="0" applyAlignment="1" pivotButton="0" quotePrefix="0" xfId="0">
      <alignment horizontal="center" vertical="center" wrapText="1"/>
    </xf>
    <xf numFmtId="0" fontId="20" fillId="14" borderId="1" applyAlignment="1" pivotButton="0" quotePrefix="0" xfId="0">
      <alignment horizontal="right" vertical="center" wrapText="1"/>
    </xf>
    <xf numFmtId="0" fontId="9" fillId="14" borderId="1" applyAlignment="1" pivotButton="0" quotePrefix="0" xfId="0">
      <alignment horizontal="center" vertical="center" wrapText="1"/>
    </xf>
    <xf numFmtId="0" fontId="14" fillId="4" borderId="0" applyAlignment="1" pivotButton="0" quotePrefix="0" xfId="0">
      <alignment horizontal="center" vertical="center" wrapText="1"/>
    </xf>
    <xf numFmtId="0" fontId="2" fillId="4" borderId="0" applyAlignment="1" pivotButton="0" quotePrefix="0" xfId="0">
      <alignment horizontal="center" vertical="center" wrapText="1"/>
    </xf>
    <xf numFmtId="0" fontId="18" fillId="13" borderId="2" applyAlignment="1" pivotButton="0" quotePrefix="0" xfId="0">
      <alignment horizontal="center" vertical="center" wrapText="1"/>
    </xf>
    <xf numFmtId="165" fontId="4" fillId="13" borderId="2" applyAlignment="1" pivotButton="0" quotePrefix="0" xfId="0">
      <alignment horizontal="left" vertical="center" wrapText="1"/>
    </xf>
    <xf numFmtId="0" fontId="21" fillId="2" borderId="0" applyAlignment="1" pivotButton="0" quotePrefix="0" xfId="0">
      <alignment horizontal="center" vertical="center" wrapText="1"/>
    </xf>
    <xf numFmtId="0" fontId="3" fillId="2" borderId="1" applyAlignment="1" pivotButton="0" quotePrefix="0" xfId="0">
      <alignment horizontal="center" vertical="center" wrapText="1"/>
    </xf>
    <xf numFmtId="0" fontId="18" fillId="12" borderId="2" applyAlignment="1" pivotButton="0" quotePrefix="0" xfId="0">
      <alignment horizontal="center" vertical="center" wrapText="1"/>
    </xf>
    <xf numFmtId="4" fontId="4" fillId="12" borderId="2" applyAlignment="1" pivotButton="0" quotePrefix="0" xfId="0">
      <alignment horizontal="left" vertical="center" wrapText="1"/>
    </xf>
    <xf numFmtId="165" fontId="4" fillId="12" borderId="2" applyAlignment="1" pivotButton="0" quotePrefix="0" xfId="0">
      <alignment horizontal="left" vertical="center" wrapText="1"/>
    </xf>
    <xf numFmtId="0" fontId="14" fillId="7" borderId="0" applyAlignment="1" pivotButton="0" quotePrefix="0" xfId="0">
      <alignment horizontal="center" vertical="center" wrapText="1"/>
    </xf>
    <xf numFmtId="0" fontId="2" fillId="7" borderId="0" applyAlignment="1" pivotButton="0" quotePrefix="0" xfId="0">
      <alignment horizontal="center" vertical="center" wrapText="1"/>
    </xf>
    <xf numFmtId="0" fontId="22" fillId="0" borderId="0" applyAlignment="1" pivotButton="0" quotePrefix="0" xfId="0">
      <alignment horizontal="right" vertical="center" wrapText="1"/>
    </xf>
    <xf numFmtId="0" fontId="0" fillId="0" borderId="5" pivotButton="0" quotePrefix="0" xfId="0"/>
    <xf numFmtId="0" fontId="23" fillId="0" borderId="5" pivotButton="0" quotePrefix="0" xfId="0"/>
    <xf numFmtId="0" fontId="24" fillId="3" borderId="1" applyAlignment="1" pivotButton="0" quotePrefix="0" xfId="0">
      <alignment horizontal="center" vertical="center" wrapText="1"/>
    </xf>
    <xf numFmtId="0" fontId="24" fillId="4" borderId="1" applyAlignment="1" pivotButton="0" quotePrefix="0" xfId="0">
      <alignment horizontal="center" vertical="center" wrapText="1"/>
    </xf>
    <xf numFmtId="0" fontId="24" fillId="6" borderId="1" applyAlignment="1" pivotButton="0" quotePrefix="0" xfId="0">
      <alignment horizontal="center" vertical="center" wrapText="1"/>
    </xf>
    <xf numFmtId="0" fontId="24" fillId="7" borderId="1" applyAlignment="1" pivotButton="0" quotePrefix="0" xfId="0">
      <alignment horizontal="center" vertical="center" wrapText="1"/>
    </xf>
    <xf numFmtId="0" fontId="24" fillId="2" borderId="1" applyAlignment="1" pivotButton="0" quotePrefix="0" xfId="0">
      <alignment horizontal="center" vertical="center" wrapText="1"/>
    </xf>
    <xf numFmtId="0" fontId="24" fillId="5" borderId="1" applyAlignment="1" pivotButton="0" quotePrefix="0" xfId="0">
      <alignment horizontal="center" vertical="center" wrapText="1"/>
    </xf>
    <xf numFmtId="0" fontId="25" fillId="17" borderId="1" applyAlignment="1" pivotButton="0" quotePrefix="0" xfId="0">
      <alignment horizontal="center" vertical="center" wrapText="1"/>
    </xf>
    <xf numFmtId="0" fontId="26" fillId="13" borderId="1" applyAlignment="1" pivotButton="0" quotePrefix="0" xfId="0">
      <alignment horizontal="center" vertical="center" wrapText="1"/>
    </xf>
    <xf numFmtId="0" fontId="27" fillId="15" borderId="1" applyAlignment="1" pivotButton="0" quotePrefix="0" xfId="0">
      <alignment horizontal="center" vertical="center" wrapText="1"/>
    </xf>
    <xf numFmtId="0" fontId="28" fillId="16" borderId="1" applyAlignment="1" pivotButton="0" quotePrefix="0" xfId="0">
      <alignment horizontal="center" vertical="center" wrapText="1"/>
    </xf>
    <xf numFmtId="0" fontId="29" fillId="12" borderId="1" applyAlignment="1" pivotButton="0" quotePrefix="0" xfId="0">
      <alignment horizontal="center" vertical="center" wrapText="1"/>
    </xf>
    <xf numFmtId="0" fontId="30" fillId="14" borderId="1" applyAlignment="1" pivotButton="0" quotePrefix="0" xfId="0">
      <alignment horizontal="center" vertical="center" wrapText="1"/>
    </xf>
    <xf numFmtId="0" fontId="9" fillId="11" borderId="2" applyAlignment="1" pivotButton="0" quotePrefix="0" xfId="0">
      <alignment horizontal="left" vertical="center" wrapText="1"/>
    </xf>
    <xf numFmtId="0" fontId="4" fillId="11" borderId="2" applyAlignment="1" pivotButton="0" quotePrefix="0" xfId="0">
      <alignment horizontal="center" vertical="center" wrapText="1"/>
    </xf>
    <xf numFmtId="0" fontId="9" fillId="17" borderId="2" applyAlignment="1" pivotButton="0" quotePrefix="0" xfId="0">
      <alignment horizontal="left" vertical="center" wrapText="1"/>
    </xf>
    <xf numFmtId="0" fontId="4" fillId="17" borderId="2" applyAlignment="1" pivotButton="0" quotePrefix="0" xfId="0">
      <alignment horizontal="center" vertical="center" wrapText="1"/>
    </xf>
    <xf numFmtId="0" fontId="15" fillId="20" borderId="0" applyAlignment="1" pivotButton="0" quotePrefix="0" xfId="0">
      <alignment horizontal="center" vertical="center" wrapText="1"/>
    </xf>
    <xf numFmtId="0" fontId="0" fillId="0" borderId="6" pivotButton="0" quotePrefix="0" xfId="0"/>
    <xf numFmtId="0" fontId="23" fillId="0" borderId="6" pivotButton="0" quotePrefix="0" xfId="0"/>
    <xf numFmtId="4" fontId="4" fillId="11" borderId="2" applyAlignment="1" pivotButton="0" quotePrefix="0" xfId="0">
      <alignment horizontal="center" vertical="center" wrapText="1"/>
    </xf>
    <xf numFmtId="0" fontId="9" fillId="19" borderId="2" applyAlignment="1" pivotButton="0" quotePrefix="0" xfId="0">
      <alignment horizontal="left" vertical="center" wrapText="1"/>
    </xf>
    <xf numFmtId="0" fontId="4" fillId="19" borderId="2" applyAlignment="1" pivotButton="0" quotePrefix="0" xfId="0">
      <alignment horizontal="center" vertical="center" wrapText="1"/>
    </xf>
    <xf numFmtId="4" fontId="4" fillId="19" borderId="2" applyAlignment="1" pivotButton="0" quotePrefix="0" xfId="0">
      <alignment horizontal="center" vertical="center" wrapText="1"/>
    </xf>
    <xf numFmtId="4" fontId="3" fillId="20" borderId="1"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7" pivotButton="0" quotePrefix="0" xfId="0"/>
    <xf numFmtId="0" fontId="0" fillId="0" borderId="8"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4" fillId="22" borderId="0" applyAlignment="1" pivotButton="0" quotePrefix="0" xfId="0">
      <alignment horizontal="center" vertical="center" wrapText="1"/>
    </xf>
    <xf numFmtId="0" fontId="15" fillId="22" borderId="0" applyAlignment="1" pivotButton="0" quotePrefix="0" xfId="0">
      <alignment horizontal="center" vertical="center" wrapText="1"/>
    </xf>
    <xf numFmtId="0" fontId="0" fillId="23" borderId="0" pivotButton="0" quotePrefix="0" xfId="0"/>
    <xf numFmtId="0" fontId="31" fillId="24" borderId="1" applyAlignment="1" pivotButton="0" quotePrefix="0" xfId="0">
      <alignment horizontal="center" vertical="center" wrapText="1"/>
    </xf>
    <xf numFmtId="0" fontId="10" fillId="25" borderId="1" applyAlignment="1" pivotButton="0" quotePrefix="0" xfId="0">
      <alignment horizontal="center" vertical="center" wrapText="1"/>
    </xf>
    <xf numFmtId="0" fontId="3" fillId="25" borderId="1" applyAlignment="1" pivotButton="0" quotePrefix="0" xfId="0">
      <alignment horizontal="center" vertical="center" wrapText="1"/>
    </xf>
    <xf numFmtId="0" fontId="18" fillId="26" borderId="2" applyAlignment="1" pivotButton="0" quotePrefix="0" xfId="0">
      <alignment horizontal="center" vertical="center" wrapText="1"/>
    </xf>
    <xf numFmtId="0" fontId="4" fillId="26" borderId="2" applyAlignment="1" pivotButton="0" quotePrefix="0" xfId="0">
      <alignment horizontal="left" vertical="center" wrapText="1"/>
    </xf>
    <xf numFmtId="165" fontId="4" fillId="26" borderId="2" applyAlignment="1" pivotButton="0" quotePrefix="0" xfId="0">
      <alignment horizontal="left" vertical="center" wrapText="1"/>
    </xf>
    <xf numFmtId="0" fontId="10" fillId="5" borderId="1" applyAlignment="1" pivotButton="0" quotePrefix="0" xfId="0">
      <alignment horizontal="center" vertical="center" wrapText="1"/>
    </xf>
    <xf numFmtId="165" fontId="4" fillId="14" borderId="2" applyAlignment="1" pivotButton="0" quotePrefix="0" xfId="0">
      <alignment horizontal="left" vertical="center" wrapText="1"/>
    </xf>
    <xf numFmtId="0" fontId="10" fillId="27" borderId="1" applyAlignment="1" pivotButton="0" quotePrefix="0" xfId="0">
      <alignment horizontal="center" vertical="center" wrapText="1"/>
    </xf>
    <xf numFmtId="0" fontId="3" fillId="27" borderId="1" applyAlignment="1" pivotButton="0" quotePrefix="0" xfId="0">
      <alignment horizontal="center" vertical="center" wrapText="1"/>
    </xf>
    <xf numFmtId="0" fontId="10" fillId="20" borderId="1" applyAlignment="1" pivotButton="0" quotePrefix="0" xfId="0">
      <alignment horizontal="center" vertical="center" wrapText="1"/>
    </xf>
    <xf numFmtId="0" fontId="10" fillId="28" borderId="1" applyAlignment="1" pivotButton="0" quotePrefix="0" xfId="0">
      <alignment horizontal="center" vertical="center" wrapText="1"/>
    </xf>
    <xf numFmtId="0" fontId="3" fillId="28" borderId="1" applyAlignment="1" pivotButton="0" quotePrefix="0" xfId="0">
      <alignment horizontal="center" vertical="center" wrapText="1"/>
    </xf>
    <xf numFmtId="0" fontId="18" fillId="29" borderId="2" applyAlignment="1" pivotButton="0" quotePrefix="0" xfId="0">
      <alignment horizontal="center" vertical="center" wrapText="1"/>
    </xf>
    <xf numFmtId="0" fontId="4" fillId="29" borderId="2" applyAlignment="1" pivotButton="0" quotePrefix="0" xfId="0">
      <alignment horizontal="left" vertical="center" wrapText="1"/>
    </xf>
    <xf numFmtId="165" fontId="4" fillId="29" borderId="2" applyAlignment="1" pivotButton="0" quotePrefix="0" xfId="0">
      <alignment horizontal="left" vertical="center" wrapText="1"/>
    </xf>
    <xf numFmtId="0" fontId="10" fillId="30" borderId="1" applyAlignment="1" pivotButton="0" quotePrefix="0" xfId="0">
      <alignment horizontal="center" vertical="center" wrapText="1"/>
    </xf>
    <xf numFmtId="0" fontId="3" fillId="30" borderId="1" applyAlignment="1" pivotButton="0" quotePrefix="0" xfId="0">
      <alignment horizontal="center" vertical="center" wrapText="1"/>
    </xf>
    <xf numFmtId="0" fontId="32" fillId="24" borderId="1" applyAlignment="1" pivotButton="0" quotePrefix="0" xfId="0">
      <alignment horizontal="left" vertical="top" wrapText="1"/>
    </xf>
    <xf numFmtId="0" fontId="0" fillId="0" borderId="21" pivotButton="0" quotePrefix="0" xfId="0"/>
    <xf numFmtId="0" fontId="0" fillId="0" borderId="2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030A0"/>
    <outlinePr summaryBelow="1" summaryRight="1"/>
    <pageSetUpPr/>
  </sheetPr>
  <dimension ref="A1:T44"/>
  <sheetViews>
    <sheetView showGridLines="0" workbookViewId="0">
      <selection activeCell="A1" sqref="A1"/>
    </sheetView>
  </sheetViews>
  <sheetFormatPr baseColWidth="8" defaultRowHeight="15"/>
  <cols>
    <col width="24" customWidth="1" min="1" max="1"/>
    <col width="4" customWidth="1" min="2" max="2"/>
    <col width="22" customWidth="1" min="3" max="3"/>
    <col width="4" customWidth="1" min="4" max="4"/>
    <col width="18" customWidth="1" min="5" max="5"/>
    <col width="4" customWidth="1" min="6" max="6"/>
    <col width="16" customWidth="1" min="7" max="7"/>
    <col width="4" customWidth="1" min="8" max="8"/>
    <col width="16" customWidth="1" min="9" max="9"/>
    <col width="4" customWidth="1" min="10" max="10"/>
    <col width="22" customWidth="1" min="11" max="11"/>
    <col width="4" customWidth="1" min="12" max="12"/>
    <col width="18" customWidth="1" min="13" max="13"/>
    <col width="4" customWidth="1" min="14" max="14"/>
    <col width="14" customWidth="1" min="15" max="15"/>
    <col width="4" customWidth="1" min="16" max="16"/>
  </cols>
  <sheetData>
    <row r="1" ht="36" customHeight="1">
      <c r="A1" s="1" t="inlineStr">
        <is>
          <t>⚙  CONFIGURATION CENTRE — Departments · Equipment · Lookup Lists</t>
        </is>
      </c>
    </row>
    <row r="2" ht="18" customHeight="1">
      <c r="A2" s="2" t="inlineStr">
        <is>
          <t>Edit lists here — all dropdowns across every sheet update automatically. Add new rows; never leave blank gaps.</t>
        </is>
      </c>
    </row>
    <row r="3" ht="10" customHeight="1"/>
    <row r="4" ht="28" customHeight="1">
      <c r="A4" s="3" t="inlineStr">
        <is>
          <t>DEPARTMENTS
(Edit / Add here)</t>
        </is>
      </c>
      <c r="C4" s="4" t="inlineStr">
        <is>
          <t>EQUIPMENT TYPES
(Edit / Add here)</t>
        </is>
      </c>
      <c r="E4" s="5" t="inlineStr">
        <is>
          <t>ITEM STATUS</t>
        </is>
      </c>
      <c r="G4" s="6" t="inlineStr">
        <is>
          <t>PRIORITY</t>
        </is>
      </c>
      <c r="I4" s="7" t="inlineStr">
        <is>
          <t>RESOLUTION</t>
        </is>
      </c>
      <c r="K4" s="8" t="inlineStr">
        <is>
          <t>PORT STATUS</t>
        </is>
      </c>
      <c r="M4" s="9" t="inlineStr">
        <is>
          <t>PORT TYPES</t>
        </is>
      </c>
      <c r="O4" s="10" t="inlineStr">
        <is>
          <t>MONTHS</t>
        </is>
      </c>
      <c r="P4" s="11" t="inlineStr">
        <is>
          <t>MULTI-SITE GUIDE</t>
        </is>
      </c>
      <c r="Q4" s="112" t="n"/>
      <c r="R4" s="112" t="n"/>
      <c r="S4" s="112" t="n"/>
      <c r="T4" s="113" t="n"/>
    </row>
    <row r="5" ht="22" customHeight="1">
      <c r="A5" s="12" t="inlineStr">
        <is>
          <t>School</t>
        </is>
      </c>
      <c r="C5" s="12" t="inlineStr">
        <is>
          <t>Desktop Computer</t>
        </is>
      </c>
      <c r="E5" s="12" t="inlineStr">
        <is>
          <t>✅ Resolved</t>
        </is>
      </c>
      <c r="G5" s="12" t="inlineStr">
        <is>
          <t>🔴 Critical</t>
        </is>
      </c>
      <c r="I5" s="12" t="inlineStr">
        <is>
          <t>Yes</t>
        </is>
      </c>
      <c r="K5" s="12" t="inlineStr">
        <is>
          <t>✅ Active</t>
        </is>
      </c>
      <c r="M5" s="12" t="inlineStr">
        <is>
          <t>RJ45 Cat5e</t>
        </is>
      </c>
      <c r="O5" s="12" t="inlineStr">
        <is>
          <t>January</t>
        </is>
      </c>
      <c r="P5" s="13" t="inlineStr">
        <is>
          <t>1. Fill 📋 Cover sheet per visit (client, site, date, tech)</t>
        </is>
      </c>
      <c r="Q5" s="114" t="n"/>
      <c r="R5" s="114" t="n"/>
      <c r="S5" s="114" t="n"/>
      <c r="T5" s="115" t="n"/>
    </row>
    <row r="6" ht="22" customHeight="1">
      <c r="A6" s="14" t="inlineStr">
        <is>
          <t>Homes</t>
        </is>
      </c>
      <c r="C6" s="15" t="inlineStr">
        <is>
          <t>Laptop</t>
        </is>
      </c>
      <c r="E6" s="16" t="inlineStr">
        <is>
          <t>🔄 In Progress</t>
        </is>
      </c>
      <c r="G6" s="17" t="inlineStr">
        <is>
          <t>🟠 High</t>
        </is>
      </c>
      <c r="I6" s="18" t="inlineStr">
        <is>
          <t>No</t>
        </is>
      </c>
      <c r="K6" s="19" t="inlineStr">
        <is>
          <t>❌ Dead/No Link</t>
        </is>
      </c>
      <c r="M6" s="20" t="inlineStr">
        <is>
          <t>RJ45 Cat6</t>
        </is>
      </c>
      <c r="O6" s="21" t="inlineStr">
        <is>
          <t>February</t>
        </is>
      </c>
      <c r="P6" s="22" t="inlineStr">
        <is>
          <t>2. Add/edit Departments in column A for this client</t>
        </is>
      </c>
      <c r="Q6" s="114" t="n"/>
      <c r="R6" s="114" t="n"/>
      <c r="S6" s="114" t="n"/>
      <c r="T6" s="115" t="n"/>
    </row>
    <row r="7" ht="22" customHeight="1">
      <c r="A7" s="12" t="inlineStr">
        <is>
          <t>Education</t>
        </is>
      </c>
      <c r="C7" s="12" t="inlineStr">
        <is>
          <t>CCTV Camera</t>
        </is>
      </c>
      <c r="E7" s="12" t="inlineStr">
        <is>
          <t>❌ Unresolved</t>
        </is>
      </c>
      <c r="G7" s="12" t="inlineStr">
        <is>
          <t>🟡 Medium</t>
        </is>
      </c>
      <c r="I7" s="12" t="inlineStr">
        <is>
          <t>Partial</t>
        </is>
      </c>
      <c r="K7" s="12" t="inlineStr">
        <is>
          <t>🔄 Intermittent</t>
        </is>
      </c>
      <c r="M7" s="12" t="inlineStr">
        <is>
          <t>Fibre</t>
        </is>
      </c>
      <c r="O7" s="12" t="inlineStr">
        <is>
          <t>March</t>
        </is>
      </c>
      <c r="P7" s="13" t="inlineStr">
        <is>
          <t>3. Add custom equipment in column C</t>
        </is>
      </c>
      <c r="Q7" s="114" t="n"/>
      <c r="R7" s="114" t="n"/>
      <c r="S7" s="114" t="n"/>
      <c r="T7" s="115" t="n"/>
    </row>
    <row r="8" ht="22" customHeight="1">
      <c r="A8" s="14" t="inlineStr">
        <is>
          <t>Finance</t>
        </is>
      </c>
      <c r="C8" s="15" t="inlineStr">
        <is>
          <t>Printer</t>
        </is>
      </c>
      <c r="E8" s="16" t="inlineStr">
        <is>
          <t>🔁 Recurring</t>
        </is>
      </c>
      <c r="G8" s="17" t="inlineStr">
        <is>
          <t>🟢 Low</t>
        </is>
      </c>
      <c r="K8" s="19" t="inlineStr">
        <is>
          <t>🔌 Not Patched</t>
        </is>
      </c>
      <c r="M8" s="20" t="inlineStr">
        <is>
          <t>WiFi/AP</t>
        </is>
      </c>
      <c r="O8" s="21" t="inlineStr">
        <is>
          <t>April</t>
        </is>
      </c>
      <c r="P8" s="22" t="inlineStr">
        <is>
          <t>4. All dropdowns update automatically across all sheets</t>
        </is>
      </c>
      <c r="Q8" s="114" t="n"/>
      <c r="R8" s="114" t="n"/>
      <c r="S8" s="114" t="n"/>
      <c r="T8" s="115" t="n"/>
    </row>
    <row r="9" ht="22" customHeight="1">
      <c r="A9" s="12" t="inlineStr">
        <is>
          <t>Procurement</t>
        </is>
      </c>
      <c r="C9" s="12" t="inlineStr">
        <is>
          <t>Access Point</t>
        </is>
      </c>
      <c r="E9" s="12" t="inlineStr">
        <is>
          <t>⏳ Pending Parts</t>
        </is>
      </c>
      <c r="K9" s="12" t="inlineStr">
        <is>
          <t>🔒 Disabled</t>
        </is>
      </c>
      <c r="M9" s="12" t="inlineStr">
        <is>
          <t>PoE</t>
        </is>
      </c>
      <c r="O9" s="12" t="inlineStr">
        <is>
          <t>May</t>
        </is>
      </c>
      <c r="P9" s="13" t="inlineStr">
        <is>
          <t>5. NEW SITE: File → Make a Copy → rename → update Cover + Depts</t>
        </is>
      </c>
      <c r="Q9" s="114" t="n"/>
      <c r="R9" s="114" t="n"/>
      <c r="S9" s="114" t="n"/>
      <c r="T9" s="115" t="n"/>
    </row>
    <row r="10" ht="22" customHeight="1">
      <c r="A10" s="14" t="inlineStr">
        <is>
          <t>Farm &amp; Business</t>
        </is>
      </c>
      <c r="C10" s="15" t="inlineStr">
        <is>
          <t>Network Switch</t>
        </is>
      </c>
      <c r="K10" s="19" t="inlineStr">
        <is>
          <t>🔧 Re-terminate</t>
        </is>
      </c>
      <c r="M10" s="20" t="inlineStr">
        <is>
          <t>SFP</t>
        </is>
      </c>
      <c r="O10" s="21" t="inlineStr">
        <is>
          <t>June</t>
        </is>
      </c>
      <c r="P10" s="22" t="inlineStr">
        <is>
          <t>6. Each copy = one complete signed client report</t>
        </is>
      </c>
      <c r="Q10" s="114" t="n"/>
      <c r="R10" s="114" t="n"/>
      <c r="S10" s="114" t="n"/>
      <c r="T10" s="115" t="n"/>
    </row>
    <row r="11" ht="20" customHeight="1">
      <c r="A11" s="12" t="inlineStr">
        <is>
          <t>Clinic</t>
        </is>
      </c>
      <c r="C11" s="12" t="inlineStr">
        <is>
          <t>Router</t>
        </is>
      </c>
      <c r="M11" s="12" t="inlineStr">
        <is>
          <t>Coax</t>
        </is>
      </c>
      <c r="O11" s="12" t="inlineStr">
        <is>
          <t>July</t>
        </is>
      </c>
    </row>
    <row r="12" ht="20" customHeight="1">
      <c r="A12" s="14" t="inlineStr">
        <is>
          <t>HR</t>
        </is>
      </c>
      <c r="C12" s="15" t="inlineStr">
        <is>
          <t>UPS/Power Backup</t>
        </is>
      </c>
      <c r="O12" s="21" t="inlineStr">
        <is>
          <t>August</t>
        </is>
      </c>
    </row>
    <row r="13" ht="20" customHeight="1">
      <c r="A13" s="12" t="inlineStr">
        <is>
          <t>Church</t>
        </is>
      </c>
      <c r="C13" s="12" t="inlineStr">
        <is>
          <t>Monitor</t>
        </is>
      </c>
      <c r="O13" s="12" t="inlineStr">
        <is>
          <t>September</t>
        </is>
      </c>
    </row>
    <row r="14" ht="20" customHeight="1">
      <c r="A14" s="14" t="inlineStr">
        <is>
          <t>Admin</t>
        </is>
      </c>
      <c r="C14" s="15" t="inlineStr">
        <is>
          <t>Keyboard &amp; Mouse</t>
        </is>
      </c>
      <c r="O14" s="21" t="inlineStr">
        <is>
          <t>October</t>
        </is>
      </c>
    </row>
    <row r="15" ht="20" customHeight="1">
      <c r="A15" s="12" t="inlineStr">
        <is>
          <t>Teams &amp; Guests</t>
        </is>
      </c>
      <c r="C15" s="12" t="inlineStr">
        <is>
          <t>Server</t>
        </is>
      </c>
      <c r="O15" s="12" t="inlineStr">
        <is>
          <t>November</t>
        </is>
      </c>
    </row>
    <row r="16" ht="20" customHeight="1">
      <c r="A16" s="14" t="inlineStr">
        <is>
          <t>Central Kitchen</t>
        </is>
      </c>
      <c r="C16" s="15" t="inlineStr">
        <is>
          <t>NVR/DVR</t>
        </is>
      </c>
      <c r="O16" s="21" t="inlineStr">
        <is>
          <t>December</t>
        </is>
      </c>
    </row>
    <row r="17" ht="20" customHeight="1">
      <c r="A17" s="23" t="inlineStr">
        <is>
          <t>← Type new dept here</t>
        </is>
      </c>
      <c r="C17" s="12" t="inlineStr">
        <is>
          <t>Projector</t>
        </is>
      </c>
    </row>
    <row r="18" ht="20" customHeight="1">
      <c r="A18" s="24" t="n"/>
      <c r="C18" s="15" t="inlineStr">
        <is>
          <t>Tablet</t>
        </is>
      </c>
    </row>
    <row r="19" ht="20" customHeight="1">
      <c r="A19" s="23" t="n"/>
      <c r="C19" s="12" t="inlineStr">
        <is>
          <t>IP Phone</t>
        </is>
      </c>
    </row>
    <row r="20" ht="20" customHeight="1">
      <c r="A20" s="24" t="n"/>
      <c r="C20" s="15" t="inlineStr">
        <is>
          <t>Photocopier</t>
        </is>
      </c>
    </row>
    <row r="21" ht="20" customHeight="1">
      <c r="A21" s="23" t="n"/>
      <c r="C21" s="12" t="inlineStr">
        <is>
          <t>Scanner</t>
        </is>
      </c>
    </row>
    <row r="22" ht="20" customHeight="1">
      <c r="A22" s="24" t="n"/>
      <c r="C22" s="15" t="inlineStr">
        <is>
          <t>External Hard Drive</t>
        </is>
      </c>
    </row>
    <row r="23" ht="20" customHeight="1">
      <c r="A23" s="23" t="n"/>
      <c r="C23" s="12" t="inlineStr">
        <is>
          <t>Flash Drive</t>
        </is>
      </c>
    </row>
    <row r="24" ht="20" customHeight="1">
      <c r="A24" s="24" t="n"/>
      <c r="C24" s="15" t="inlineStr">
        <is>
          <t>Smart TV</t>
        </is>
      </c>
    </row>
    <row r="25" ht="20" customHeight="1">
      <c r="A25" s="23" t="n"/>
      <c r="C25" s="12" t="inlineStr">
        <is>
          <t>OTHER (specify in notes)</t>
        </is>
      </c>
    </row>
    <row r="26" ht="20" customHeight="1">
      <c r="A26" s="24" t="n"/>
      <c r="C26" s="25" t="inlineStr">
        <is>
          <t>← Add custom equipment</t>
        </is>
      </c>
    </row>
    <row r="27" ht="20" customHeight="1">
      <c r="A27" s="23" t="n"/>
      <c r="C27" s="23" t="n"/>
    </row>
    <row r="28" ht="20" customHeight="1">
      <c r="A28" s="24" t="n"/>
      <c r="C28" s="25" t="n"/>
    </row>
    <row r="29" ht="20" customHeight="1">
      <c r="A29" s="23" t="n"/>
      <c r="C29" s="23" t="n"/>
    </row>
    <row r="30" ht="20" customHeight="1">
      <c r="A30" s="24" t="n"/>
      <c r="C30" s="25" t="n"/>
    </row>
    <row r="31" ht="20" customHeight="1">
      <c r="A31" s="23" t="n"/>
      <c r="C31" s="23" t="n"/>
    </row>
    <row r="32" ht="20" customHeight="1">
      <c r="A32" s="24" t="n"/>
      <c r="C32" s="25" t="n"/>
    </row>
    <row r="33" ht="20" customHeight="1">
      <c r="A33" s="23" t="n"/>
      <c r="C33" s="23" t="n"/>
    </row>
    <row r="34" ht="20" customHeight="1">
      <c r="A34" s="24" t="n"/>
      <c r="C34" s="25" t="n"/>
    </row>
    <row r="35" ht="20" customHeight="1">
      <c r="A35" s="23" t="n"/>
      <c r="C35" s="23" t="n"/>
    </row>
    <row r="36" ht="20" customHeight="1">
      <c r="A36" s="24" t="n"/>
      <c r="C36" s="25" t="n"/>
    </row>
    <row r="37" ht="20" customHeight="1">
      <c r="A37" s="23" t="n"/>
      <c r="C37" s="23" t="n"/>
    </row>
    <row r="38" ht="20" customHeight="1">
      <c r="A38" s="24" t="n"/>
      <c r="C38" s="25" t="n"/>
    </row>
    <row r="39" ht="20" customHeight="1">
      <c r="A39" s="23" t="n"/>
      <c r="C39" s="23" t="n"/>
    </row>
    <row r="40" ht="20" customHeight="1">
      <c r="A40" s="24" t="n"/>
      <c r="C40" s="25" t="n"/>
    </row>
    <row r="41" ht="20" customHeight="1">
      <c r="A41" s="23" t="n"/>
      <c r="C41" s="23" t="n"/>
    </row>
    <row r="42" ht="20" customHeight="1">
      <c r="A42" s="24" t="n"/>
      <c r="C42" s="25" t="n"/>
    </row>
    <row r="43" ht="20" customHeight="1">
      <c r="A43" s="23" t="n"/>
      <c r="C43" s="23" t="n"/>
    </row>
    <row r="44" ht="20" customHeight="1">
      <c r="A44" s="24" t="n"/>
      <c r="C44" s="25" t="n"/>
    </row>
  </sheetData>
  <mergeCells count="9">
    <mergeCell ref="P4:T4"/>
    <mergeCell ref="A1:P1"/>
    <mergeCell ref="P7:T7"/>
    <mergeCell ref="P6:T6"/>
    <mergeCell ref="P8:T8"/>
    <mergeCell ref="P10:T10"/>
    <mergeCell ref="P5:T5"/>
    <mergeCell ref="P9:T9"/>
    <mergeCell ref="A2:P2"/>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tabColor rgb="000D2137"/>
    <outlinePr summaryBelow="1" summaryRight="1"/>
    <pageSetUpPr/>
  </sheetPr>
  <dimension ref="A1:M37"/>
  <sheetViews>
    <sheetView showGridLines="0" workbookViewId="0">
      <selection activeCell="A1" sqref="A1"/>
    </sheetView>
  </sheetViews>
  <sheetFormatPr baseColWidth="8" defaultRowHeight="15"/>
  <cols>
    <col width="20" customWidth="1" min="1" max="1"/>
    <col width="2" customWidth="1" min="2" max="2"/>
    <col width="22" customWidth="1" min="3" max="3"/>
    <col width="22" customWidth="1" min="4" max="4"/>
    <col width="2" customWidth="1" min="5" max="5"/>
    <col width="20" customWidth="1" min="6" max="6"/>
    <col width="22" customWidth="1" min="7" max="7"/>
    <col width="2" customWidth="1" min="8" max="8"/>
    <col width="16" customWidth="1" min="9" max="9"/>
    <col width="22" customWidth="1" min="10" max="10"/>
    <col width="2" customWidth="1" min="11" max="11"/>
    <col width="16" customWidth="1" min="12" max="12"/>
    <col width="22" customWidth="1" min="13" max="13"/>
  </cols>
  <sheetData>
    <row r="1" ht="44" customHeight="1">
      <c r="A1" s="26" t="inlineStr">
        <is>
          <t>🔧  IT MAINTENANCE &amp; SUPPORT — SITE VISIT REPORT</t>
        </is>
      </c>
    </row>
    <row r="2" ht="18" customHeight="1">
      <c r="A2" s="27" t="inlineStr">
        <is>
          <t>Complete this cover page first — all other sheets pull from here automatically</t>
        </is>
      </c>
    </row>
    <row r="3" ht="8" customHeight="1"/>
    <row r="4" ht="26" customHeight="1">
      <c r="A4" s="28" t="inlineStr">
        <is>
          <t>Client / Organisation:</t>
        </is>
      </c>
      <c r="C4" s="29" t="n"/>
      <c r="D4" s="116" t="n"/>
      <c r="E4" s="116" t="n"/>
      <c r="F4" s="116" t="n"/>
      <c r="G4" s="116" t="n"/>
      <c r="H4" s="116" t="n"/>
      <c r="I4" s="116" t="n"/>
      <c r="J4" s="116" t="n"/>
      <c r="K4" s="116" t="n"/>
      <c r="L4" s="116" t="n"/>
      <c r="M4" s="116" t="n"/>
    </row>
    <row r="5" ht="26" customHeight="1">
      <c r="A5" s="28" t="inlineStr">
        <is>
          <t>Site / Location:</t>
        </is>
      </c>
      <c r="C5" s="29" t="n"/>
      <c r="D5" s="116" t="n"/>
      <c r="E5" s="116" t="n"/>
      <c r="F5" s="116" t="n"/>
      <c r="G5" s="116" t="n"/>
      <c r="H5" s="116" t="n"/>
      <c r="I5" s="116" t="n"/>
      <c r="J5" s="116" t="n"/>
      <c r="K5" s="116" t="n"/>
      <c r="L5" s="116" t="n"/>
      <c r="M5" s="116" t="n"/>
    </row>
    <row r="6" ht="26" customHeight="1">
      <c r="A6" s="28" t="inlineStr">
        <is>
          <t>Building / Block / Floor:</t>
        </is>
      </c>
      <c r="C6" s="29" t="n"/>
      <c r="D6" s="116" t="n"/>
      <c r="E6" s="116" t="n"/>
      <c r="F6" s="116" t="n"/>
      <c r="G6" s="116" t="n"/>
      <c r="H6" s="116" t="n"/>
      <c r="I6" s="116" t="n"/>
      <c r="J6" s="116" t="n"/>
      <c r="K6" s="116" t="n"/>
      <c r="L6" s="116" t="n"/>
      <c r="M6" s="116" t="n"/>
    </row>
    <row r="7" ht="26" customHeight="1">
      <c r="A7" s="28" t="inlineStr">
        <is>
          <t>Visit Date (YYYY-MM-DD):</t>
        </is>
      </c>
      <c r="C7" s="30">
        <f>TODAY()</f>
        <v/>
      </c>
      <c r="D7" s="116" t="n"/>
      <c r="E7" s="116" t="n"/>
      <c r="F7" s="116" t="n"/>
      <c r="H7" s="31" t="inlineStr">
        <is>
          <t>Year:</t>
        </is>
      </c>
      <c r="I7" s="32" t="inlineStr"/>
      <c r="J7" s="31" t="inlineStr">
        <is>
          <t>Month:</t>
        </is>
      </c>
      <c r="K7" s="32" t="inlineStr"/>
      <c r="L7" s="31" t="inlineStr">
        <is>
          <t>Day:</t>
        </is>
      </c>
      <c r="M7" s="32" t="inlineStr"/>
    </row>
    <row r="8" ht="26" customHeight="1">
      <c r="A8" s="28" t="inlineStr">
        <is>
          <t>Visit Reference #:</t>
        </is>
      </c>
      <c r="C8" s="29" t="n"/>
      <c r="D8" s="116" t="n"/>
      <c r="E8" s="116" t="n"/>
      <c r="F8" s="116" t="n"/>
    </row>
    <row r="9" ht="26" customHeight="1">
      <c r="A9" s="28" t="inlineStr">
        <is>
          <t>Contract / PO Number:</t>
        </is>
      </c>
      <c r="C9" s="29" t="n"/>
      <c r="D9" s="116" t="n"/>
      <c r="E9" s="116" t="n"/>
      <c r="F9" s="116" t="n"/>
    </row>
    <row r="10" ht="26" customHeight="1">
      <c r="A10" s="28" t="inlineStr">
        <is>
          <t>Lead Technician:</t>
        </is>
      </c>
      <c r="C10" s="29" t="n"/>
      <c r="D10" s="116" t="n"/>
      <c r="E10" s="116" t="n"/>
      <c r="F10" s="116" t="n"/>
      <c r="G10" s="116" t="n"/>
      <c r="H10" s="116" t="n"/>
      <c r="I10" s="116" t="n"/>
      <c r="J10" s="116" t="n"/>
      <c r="K10" s="116" t="n"/>
      <c r="L10" s="116" t="n"/>
      <c r="M10" s="116" t="n"/>
    </row>
    <row r="11" ht="26" customHeight="1">
      <c r="A11" s="28" t="inlineStr">
        <is>
          <t>Assistant(s):</t>
        </is>
      </c>
      <c r="C11" s="29" t="n"/>
      <c r="D11" s="116" t="n"/>
      <c r="E11" s="116" t="n"/>
      <c r="F11" s="116" t="n"/>
      <c r="G11" s="116" t="n"/>
      <c r="H11" s="116" t="n"/>
      <c r="I11" s="116" t="n"/>
      <c r="J11" s="116" t="n"/>
      <c r="K11" s="116" t="n"/>
      <c r="L11" s="116" t="n"/>
      <c r="M11" s="116" t="n"/>
    </row>
    <row r="12" ht="26" customHeight="1">
      <c r="A12" s="28" t="inlineStr">
        <is>
          <t>Client Representative:</t>
        </is>
      </c>
      <c r="C12" s="29" t="n"/>
      <c r="D12" s="116" t="n"/>
      <c r="E12" s="116" t="n"/>
      <c r="F12" s="116" t="n"/>
      <c r="G12" s="116" t="n"/>
      <c r="H12" s="116" t="n"/>
      <c r="I12" s="116" t="n"/>
      <c r="J12" s="116" t="n"/>
      <c r="K12" s="116" t="n"/>
      <c r="L12" s="116" t="n"/>
      <c r="M12" s="116" t="n"/>
    </row>
    <row r="13" ht="26" customHeight="1">
      <c r="A13" s="28" t="inlineStr">
        <is>
          <t>Client Designation:</t>
        </is>
      </c>
      <c r="C13" s="29" t="n"/>
      <c r="D13" s="116" t="n"/>
      <c r="E13" s="116" t="n"/>
      <c r="F13" s="116" t="n"/>
      <c r="G13" s="116" t="n"/>
      <c r="H13" s="116" t="n"/>
      <c r="I13" s="116" t="n"/>
      <c r="J13" s="116" t="n"/>
      <c r="K13" s="116" t="n"/>
      <c r="L13" s="116" t="n"/>
      <c r="M13" s="116" t="n"/>
    </row>
    <row r="14" ht="26" customHeight="1">
      <c r="A14" s="28" t="inlineStr">
        <is>
          <t>Phone / Email:</t>
        </is>
      </c>
      <c r="C14" s="29" t="n"/>
      <c r="D14" s="116" t="n"/>
      <c r="E14" s="116" t="n"/>
      <c r="F14" s="116" t="n"/>
      <c r="G14" s="116" t="n"/>
      <c r="H14" s="116" t="n"/>
      <c r="I14" s="116" t="n"/>
      <c r="J14" s="116" t="n"/>
      <c r="K14" s="116" t="n"/>
      <c r="L14" s="116" t="n"/>
      <c r="M14" s="116" t="n"/>
    </row>
    <row r="15" ht="26" customHeight="1">
      <c r="A15" s="28" t="inlineStr">
        <is>
          <t>Time Out:</t>
        </is>
      </c>
      <c r="C15" s="29" t="n"/>
      <c r="D15" s="116" t="n"/>
      <c r="E15" s="116" t="n"/>
      <c r="F15" s="116" t="n"/>
      <c r="I15" s="29" t="n"/>
      <c r="J15" s="116" t="n"/>
      <c r="K15" s="116" t="n"/>
      <c r="L15" s="116" t="n"/>
      <c r="M15" s="116" t="n"/>
    </row>
    <row r="16" ht="26" customHeight="1">
      <c r="A16" s="28" t="inlineStr">
        <is>
          <t>Next Scheduled Visit:</t>
        </is>
      </c>
      <c r="C16" s="29" t="n"/>
      <c r="D16" s="116" t="n"/>
      <c r="E16" s="116" t="n"/>
      <c r="F16" s="116" t="n"/>
    </row>
    <row r="17" ht="8" customHeight="1"/>
    <row r="18" ht="22" customHeight="1">
      <c r="A18" s="33" t="inlineStr">
        <is>
          <t>SCOPE OF THIS VISIT  (replace ☐ with ✓ for applicable items)</t>
        </is>
      </c>
    </row>
    <row r="19" ht="22" customHeight="1">
      <c r="C19" s="19" t="inlineStr">
        <is>
          <t>☐  General IT Support</t>
        </is>
      </c>
      <c r="F19" s="19" t="inlineStr">
        <is>
          <t>☐  Network / Cabling Audit</t>
        </is>
      </c>
      <c r="I19" s="19" t="inlineStr">
        <is>
          <t>☐  CCTV / NVR Check</t>
        </is>
      </c>
      <c r="L19" s="19" t="inlineStr">
        <is>
          <t>☐  Printer Maintenance</t>
        </is>
      </c>
    </row>
    <row r="20" ht="22" customHeight="1">
      <c r="C20" s="19" t="inlineStr">
        <is>
          <t>☐  Access Point Config</t>
        </is>
      </c>
      <c r="F20" s="19" t="inlineStr">
        <is>
          <t>☐  Server / UPS Check</t>
        </is>
      </c>
      <c r="I20" s="19" t="inlineStr">
        <is>
          <t>☐  Laptop / Desktop</t>
        </is>
      </c>
      <c r="L20" s="19" t="inlineStr">
        <is>
          <t>☐  Software / OS Issues</t>
        </is>
      </c>
    </row>
    <row r="21" ht="22" customHeight="1">
      <c r="C21" s="19" t="inlineStr">
        <is>
          <t>☐  New Equipment Setup</t>
        </is>
      </c>
      <c r="F21" s="19" t="inlineStr">
        <is>
          <t>☐  User Training</t>
        </is>
      </c>
      <c r="I21" s="19" t="inlineStr">
        <is>
          <t>☐  Procurement / Quote</t>
        </is>
      </c>
      <c r="L21" s="19" t="inlineStr">
        <is>
          <t>☐  Emergency Callout</t>
        </is>
      </c>
    </row>
    <row r="22" ht="8" customHeight="1"/>
    <row r="23" ht="22" customHeight="1">
      <c r="A23" s="34" t="inlineStr">
        <is>
          <t>OVERALL VISIT SUMMARY / NOTES</t>
        </is>
      </c>
    </row>
    <row r="24" ht="20" customHeight="1">
      <c r="A24" s="35" t="n"/>
      <c r="B24" s="117" t="n"/>
      <c r="C24" s="117" t="n"/>
      <c r="D24" s="117" t="n"/>
      <c r="E24" s="117" t="n"/>
      <c r="F24" s="117" t="n"/>
      <c r="G24" s="117" t="n"/>
      <c r="H24" s="117" t="n"/>
      <c r="I24" s="117" t="n"/>
      <c r="J24" s="117" t="n"/>
      <c r="K24" s="117" t="n"/>
      <c r="L24" s="117" t="n"/>
      <c r="M24" s="118" t="n"/>
    </row>
    <row r="25" ht="20" customHeight="1">
      <c r="A25" s="119" t="n"/>
      <c r="M25" s="120" t="n"/>
    </row>
    <row r="26" ht="20" customHeight="1">
      <c r="A26" s="119" t="n"/>
      <c r="M26" s="120" t="n"/>
    </row>
    <row r="27" ht="20" customHeight="1">
      <c r="A27" s="119" t="n"/>
      <c r="M27" s="120" t="n"/>
    </row>
    <row r="28" ht="20" customHeight="1">
      <c r="A28" s="121" t="n"/>
      <c r="B28" s="122" t="n"/>
      <c r="C28" s="122" t="n"/>
      <c r="D28" s="122" t="n"/>
      <c r="E28" s="122" t="n"/>
      <c r="F28" s="122" t="n"/>
      <c r="G28" s="122" t="n"/>
      <c r="H28" s="122" t="n"/>
      <c r="I28" s="122" t="n"/>
      <c r="J28" s="122" t="n"/>
      <c r="K28" s="122" t="n"/>
      <c r="L28" s="122" t="n"/>
      <c r="M28" s="123" t="n"/>
    </row>
    <row r="29" ht="8" customHeight="1"/>
    <row r="30" ht="20" customHeight="1">
      <c r="A30" s="36" t="inlineStr">
        <is>
          <t>━━  REPORT ACKNOWLEDGEMENT &amp; SIGN-OFF  ━━</t>
        </is>
      </c>
    </row>
    <row r="31" ht="20" customHeight="1">
      <c r="A31" s="37" t="inlineStr">
        <is>
          <t>🔧  TECHNICIAN / ENGINEER</t>
        </is>
      </c>
      <c r="H31" s="38" t="inlineStr">
        <is>
          <t>✅  CLIENT / ADMIN COUNTER-SIGNATURE</t>
        </is>
      </c>
    </row>
    <row r="32" ht="50" customHeight="1">
      <c r="A32" s="39" t="inlineStr">
        <is>
          <t>Name:      ___________________________
Signature: ___________________________
Date:      _______________</t>
        </is>
      </c>
      <c r="B32" s="112" t="n"/>
      <c r="C32" s="112" t="n"/>
      <c r="D32" s="112" t="n"/>
      <c r="E32" s="112" t="n"/>
      <c r="F32" s="112" t="n"/>
      <c r="G32" s="113" t="n"/>
      <c r="H32" s="40" t="inlineStr">
        <is>
          <t>Name:        ___________________________
Designation: ___________________________
Signature:   ___________________________
Date:        _______________</t>
        </is>
      </c>
      <c r="I32" s="112" t="n"/>
      <c r="J32" s="112" t="n"/>
      <c r="K32" s="112" t="n"/>
      <c r="L32" s="112" t="n"/>
      <c r="M32" s="113" t="n"/>
    </row>
    <row r="33" ht="50" customHeight="1"/>
    <row r="34" ht="20" customHeight="1">
      <c r="A34" s="41" t="inlineStr">
        <is>
          <t>DECLARATION</t>
        </is>
      </c>
    </row>
    <row r="35" ht="30" customHeight="1">
      <c r="A35" s="42" t="inlineStr">
        <is>
          <t>I/We confirm that issues, actions and findings documented in this report are accurate and reflect the work carried out during this visit. Outstanding items have been communicated. Both parties agree to the contents of this report.</t>
        </is>
      </c>
      <c r="B35" s="112" t="n"/>
      <c r="C35" s="112" t="n"/>
      <c r="D35" s="112" t="n"/>
      <c r="E35" s="112" t="n"/>
      <c r="F35" s="112" t="n"/>
      <c r="G35" s="112" t="n"/>
      <c r="H35" s="112" t="n"/>
      <c r="I35" s="112" t="n"/>
      <c r="J35" s="112" t="n"/>
      <c r="K35" s="112" t="n"/>
      <c r="L35" s="112" t="n"/>
      <c r="M35" s="113" t="n"/>
    </row>
    <row r="37" ht="16" customHeight="1">
      <c r="A37" s="43" t="inlineStr">
        <is>
          <t>Confidential — IT Support Site Report  |  Do not distribute without authorisation</t>
        </is>
      </c>
    </row>
  </sheetData>
  <mergeCells count="27">
    <mergeCell ref="A32:G32"/>
    <mergeCell ref="I15:M15"/>
    <mergeCell ref="C8:F8"/>
    <mergeCell ref="A23:M23"/>
    <mergeCell ref="C6:M6"/>
    <mergeCell ref="A35:M35"/>
    <mergeCell ref="C7:F7"/>
    <mergeCell ref="C5:M5"/>
    <mergeCell ref="C14:M14"/>
    <mergeCell ref="C4:M4"/>
    <mergeCell ref="H32:M32"/>
    <mergeCell ref="A31:G31"/>
    <mergeCell ref="A34:M34"/>
    <mergeCell ref="C10:M10"/>
    <mergeCell ref="A30:M30"/>
    <mergeCell ref="C15:F15"/>
    <mergeCell ref="A1:M1"/>
    <mergeCell ref="C12:M12"/>
    <mergeCell ref="C11:M11"/>
    <mergeCell ref="C16:F16"/>
    <mergeCell ref="A24:M28"/>
    <mergeCell ref="C9:F9"/>
    <mergeCell ref="A37:M37"/>
    <mergeCell ref="A18:M18"/>
    <mergeCell ref="H31:M31"/>
    <mergeCell ref="C13:M13"/>
    <mergeCell ref="A2:M2"/>
  </mergeCells>
  <dataValidations count="3">
    <dataValidation sqref="I7" showDropDown="0" showInputMessage="0" showErrorMessage="0" allowBlank="1" type="list">
      <formula1>"2024,2025,2026,2027,2028,2029,2030"</formula1>
    </dataValidation>
    <dataValidation sqref="K7" showDropDown="0" showInputMessage="0" showErrorMessage="0" allowBlank="1" type="list">
      <formula1>'⚙ Config'!$O$5:$O$16</formula1>
    </dataValidation>
    <dataValidation sqref="M7" showDropDown="0" showInputMessage="0" showErrorMessage="0" allowBlank="1" type="list">
      <formula1>"1,2,3,4,5,6,7,8,9,10,11,12,13,14,15,16,17,18,19,20,21,22,23,24,25,26,27,28,29,30,31"</formula1>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2E75B6"/>
    <outlinePr summaryBelow="1" summaryRight="1"/>
    <pageSetUpPr/>
  </sheetPr>
  <dimension ref="A1:S116"/>
  <sheetViews>
    <sheetView showGridLines="0" workbookViewId="0">
      <pane ySplit="7" topLeftCell="A8" activePane="bottomLeft" state="frozen"/>
      <selection pane="bottomLeft" activeCell="A1" sqref="A1"/>
    </sheetView>
  </sheetViews>
  <sheetFormatPr baseColWidth="8" defaultRowHeight="15"/>
  <cols>
    <col width="4" customWidth="1" min="1" max="1"/>
    <col width="20" customWidth="1" min="2" max="2"/>
    <col width="16" customWidth="1" min="3" max="3"/>
    <col width="18" customWidth="1" min="4" max="4"/>
    <col width="14" customWidth="1" min="5" max="5"/>
    <col width="16" customWidth="1" min="6" max="6"/>
    <col width="16" customWidth="1" min="7" max="7"/>
    <col width="26" customWidth="1" min="8" max="8"/>
    <col width="18" customWidth="1" min="9" max="9"/>
    <col width="24" customWidth="1" min="10" max="10"/>
    <col width="14" customWidth="1" min="11" max="11"/>
    <col width="10" customWidth="1" min="12" max="12"/>
    <col width="10" customWidth="1" min="13" max="13"/>
    <col width="18" customWidth="1" min="14" max="14"/>
    <col width="10" customWidth="1" min="15" max="15"/>
    <col width="22" customWidth="1" min="16" max="16"/>
    <col width="12" customWidth="1" min="17" max="17"/>
    <col width="13" customWidth="1" min="18" max="18"/>
    <col width="20" customWidth="1" min="19" max="19"/>
  </cols>
  <sheetData>
    <row r="1" ht="40" customHeight="1">
      <c r="A1" s="44" t="inlineStr">
        <is>
          <t>📝  SITE VISIT LOG — ISSUE &amp; RESOLUTION TRACKER</t>
        </is>
      </c>
    </row>
    <row r="2" ht="18" customHeight="1">
      <c r="A2" s="45" t="inlineStr">
        <is>
          <t>One row per issue. Select Department &amp; Equipment from dropdowns. Network Point auto-fills details from Network Audit.</t>
        </is>
      </c>
    </row>
    <row r="3" ht="18" customHeight="1">
      <c r="A3" s="31" t="inlineStr">
        <is>
          <t>Date:</t>
        </is>
      </c>
      <c r="C3" s="46">
        <f>'📋 Site Cover'!C7</f>
        <v/>
      </c>
      <c r="D3" s="31" t="inlineStr">
        <is>
          <t>Technician:</t>
        </is>
      </c>
      <c r="G3" s="47">
        <f>'📋 Site Cover'!C10</f>
        <v/>
      </c>
      <c r="H3" s="31" t="inlineStr">
        <is>
          <t>Visit Ref:</t>
        </is>
      </c>
      <c r="L3" s="31" t="inlineStr">
        <is>
          <t>Client:</t>
        </is>
      </c>
      <c r="M3" s="47">
        <f>'📋 Site Cover'!C4</f>
        <v/>
      </c>
      <c r="N3" s="31" t="inlineStr"/>
      <c r="P3" s="31" t="inlineStr">
        <is>
          <t>Ref #:</t>
        </is>
      </c>
      <c r="Q3" s="47">
        <f>'📋 Site Cover'!C8</f>
        <v/>
      </c>
    </row>
    <row r="4" ht="4" customHeight="1">
      <c r="A4" s="48" t="n"/>
    </row>
    <row r="5" ht="15" customHeight="1">
      <c r="A5" s="49" t="inlineStr">
        <is>
          <t>STATUS: ✅ Resolved  🔄 In Progress  ❌ Unresolved  🔁 Recurring  ⏳ Pending Parts  |  PRIORITY: 🔴 Critical  🟠 High  🟡 Medium  🟢 Low</t>
        </is>
      </c>
    </row>
    <row r="6" ht="4" customHeight="1">
      <c r="A6" s="50" t="n"/>
    </row>
    <row r="7" ht="16" customHeight="1">
      <c r="A7" s="51" t="inlineStr">
        <is>
          <t>💡 TIP: Enter the Network Point ID in column E — Device Type, Location &amp; Connected-To will auto-fill from the Network Points Audit sheet</t>
        </is>
      </c>
    </row>
    <row r="8" ht="36" customHeight="1">
      <c r="A8" s="3" t="inlineStr">
        <is>
          <t>#</t>
        </is>
      </c>
      <c r="B8" s="3" t="inlineStr">
        <is>
          <t>Department</t>
        </is>
      </c>
      <c r="C8" s="3" t="inlineStr">
        <is>
          <t>Sub-Area / Room</t>
        </is>
      </c>
      <c r="D8" s="3" t="inlineStr">
        <is>
          <t>Item / Equipment</t>
        </is>
      </c>
      <c r="E8" s="3" t="inlineStr">
        <is>
          <t>Network Point
ID (auto-fill →)</t>
        </is>
      </c>
      <c r="F8" s="3" t="inlineStr">
        <is>
          <t>Auto: Device
Location</t>
        </is>
      </c>
      <c r="G8" s="3" t="inlineStr">
        <is>
          <t>Auto: Connected
To</t>
        </is>
      </c>
      <c r="H8" s="3" t="inlineStr">
        <is>
          <t>Issue Description</t>
        </is>
      </c>
      <c r="I8" s="3" t="inlineStr">
        <is>
          <t>Root Cause</t>
        </is>
      </c>
      <c r="J8" s="3" t="inlineStr">
        <is>
          <t>Action Taken</t>
        </is>
      </c>
      <c r="K8" s="3" t="inlineStr">
        <is>
          <t>Status</t>
        </is>
      </c>
      <c r="L8" s="3" t="inlineStr">
        <is>
          <t>Resolved</t>
        </is>
      </c>
      <c r="M8" s="3" t="inlineStr">
        <is>
          <t>Res. Time
(hrs)</t>
        </is>
      </c>
      <c r="N8" s="3" t="inlineStr">
        <is>
          <t>Parts / Materials
Used</t>
        </is>
      </c>
      <c r="O8" s="3" t="inlineStr">
        <is>
          <t>Parts Cost</t>
        </is>
      </c>
      <c r="P8" s="3" t="inlineStr">
        <is>
          <t>Further Request</t>
        </is>
      </c>
      <c r="Q8" s="3" t="inlineStr">
        <is>
          <t>Priority</t>
        </is>
      </c>
      <c r="R8" s="3" t="inlineStr">
        <is>
          <t>Follow-up Date</t>
        </is>
      </c>
      <c r="S8" s="3" t="inlineStr">
        <is>
          <t>Remarks</t>
        </is>
      </c>
    </row>
    <row r="9" ht="38" customHeight="1">
      <c r="A9" s="52" t="n">
        <v>1</v>
      </c>
      <c r="B9" s="12" t="n"/>
      <c r="C9" s="12" t="n"/>
      <c r="D9" s="12" t="n"/>
      <c r="E9" s="12" t="n"/>
      <c r="F9" s="53">
        <f>IFERROR(VLOOKUP(E9,'🌐 Network Points'!$B$8:$J$107,3,0),"")</f>
        <v/>
      </c>
      <c r="G9" s="53">
        <f>IFERROR(VLOOKUP(E9,'🌐 Network Points'!$B$8:$J$107,5,0),"")</f>
        <v/>
      </c>
      <c r="H9" s="12" t="n"/>
      <c r="I9" s="12" t="n"/>
      <c r="J9" s="12" t="n"/>
      <c r="K9" s="12" t="n"/>
      <c r="L9" s="12" t="n"/>
      <c r="M9" s="12" t="n"/>
      <c r="N9" s="12" t="n"/>
      <c r="O9" s="54" t="n"/>
      <c r="P9" s="12" t="n"/>
      <c r="Q9" s="12" t="n"/>
      <c r="R9" s="55" t="n"/>
      <c r="S9" s="12" t="n"/>
    </row>
    <row r="10" ht="38" customHeight="1">
      <c r="A10" s="56" t="n">
        <v>2</v>
      </c>
      <c r="B10" s="19" t="n"/>
      <c r="C10" s="19" t="n"/>
      <c r="D10" s="19" t="n"/>
      <c r="E10" s="19" t="n"/>
      <c r="F10" s="57">
        <f>IFERROR(VLOOKUP(E10,'🌐 Network Points'!$B$8:$J$107,3,0),"")</f>
        <v/>
      </c>
      <c r="G10" s="57">
        <f>IFERROR(VLOOKUP(E10,'🌐 Network Points'!$B$8:$J$107,5,0),"")</f>
        <v/>
      </c>
      <c r="H10" s="19" t="n"/>
      <c r="I10" s="19" t="n"/>
      <c r="J10" s="19" t="n"/>
      <c r="K10" s="19" t="n"/>
      <c r="L10" s="19" t="n"/>
      <c r="M10" s="19" t="n"/>
      <c r="N10" s="19" t="n"/>
      <c r="O10" s="58" t="n"/>
      <c r="P10" s="19" t="n"/>
      <c r="Q10" s="19" t="n"/>
      <c r="R10" s="59" t="n"/>
      <c r="S10" s="19" t="n"/>
    </row>
    <row r="11" ht="38" customHeight="1">
      <c r="A11" s="52" t="n">
        <v>3</v>
      </c>
      <c r="B11" s="12" t="n"/>
      <c r="C11" s="12" t="n"/>
      <c r="D11" s="12" t="n"/>
      <c r="E11" s="12" t="n"/>
      <c r="F11" s="53">
        <f>IFERROR(VLOOKUP(E11,'🌐 Network Points'!$B$8:$J$107,3,0),"")</f>
        <v/>
      </c>
      <c r="G11" s="53">
        <f>IFERROR(VLOOKUP(E11,'🌐 Network Points'!$B$8:$J$107,5,0),"")</f>
        <v/>
      </c>
      <c r="H11" s="12" t="n"/>
      <c r="I11" s="12" t="n"/>
      <c r="J11" s="12" t="n"/>
      <c r="K11" s="12" t="n"/>
      <c r="L11" s="12" t="n"/>
      <c r="M11" s="12" t="n"/>
      <c r="N11" s="12" t="n"/>
      <c r="O11" s="54" t="n"/>
      <c r="P11" s="12" t="n"/>
      <c r="Q11" s="12" t="n"/>
      <c r="R11" s="55" t="n"/>
      <c r="S11" s="12" t="n"/>
    </row>
    <row r="12" ht="38" customHeight="1">
      <c r="A12" s="56" t="n">
        <v>4</v>
      </c>
      <c r="B12" s="19" t="n"/>
      <c r="C12" s="19" t="n"/>
      <c r="D12" s="19" t="n"/>
      <c r="E12" s="19" t="n"/>
      <c r="F12" s="57">
        <f>IFERROR(VLOOKUP(E12,'🌐 Network Points'!$B$8:$J$107,3,0),"")</f>
        <v/>
      </c>
      <c r="G12" s="57">
        <f>IFERROR(VLOOKUP(E12,'🌐 Network Points'!$B$8:$J$107,5,0),"")</f>
        <v/>
      </c>
      <c r="H12" s="19" t="n"/>
      <c r="I12" s="19" t="n"/>
      <c r="J12" s="19" t="n"/>
      <c r="K12" s="19" t="n"/>
      <c r="L12" s="19" t="n"/>
      <c r="M12" s="19" t="n"/>
      <c r="N12" s="19" t="n"/>
      <c r="O12" s="58" t="n"/>
      <c r="P12" s="19" t="n"/>
      <c r="Q12" s="19" t="n"/>
      <c r="R12" s="59" t="n"/>
      <c r="S12" s="19" t="n"/>
    </row>
    <row r="13" ht="38" customHeight="1">
      <c r="A13" s="52" t="n">
        <v>5</v>
      </c>
      <c r="B13" s="12" t="n"/>
      <c r="C13" s="12" t="n"/>
      <c r="D13" s="12" t="n"/>
      <c r="E13" s="12" t="n"/>
      <c r="F13" s="53">
        <f>IFERROR(VLOOKUP(E13,'🌐 Network Points'!$B$8:$J$107,3,0),"")</f>
        <v/>
      </c>
      <c r="G13" s="53">
        <f>IFERROR(VLOOKUP(E13,'🌐 Network Points'!$B$8:$J$107,5,0),"")</f>
        <v/>
      </c>
      <c r="H13" s="12" t="n"/>
      <c r="I13" s="12" t="n"/>
      <c r="J13" s="12" t="n"/>
      <c r="K13" s="12" t="n"/>
      <c r="L13" s="12" t="n"/>
      <c r="M13" s="12" t="n"/>
      <c r="N13" s="12" t="n"/>
      <c r="O13" s="54" t="n"/>
      <c r="P13" s="12" t="n"/>
      <c r="Q13" s="12" t="n"/>
      <c r="R13" s="55" t="n"/>
      <c r="S13" s="12" t="n"/>
    </row>
    <row r="14" ht="38" customHeight="1">
      <c r="A14" s="56" t="n">
        <v>6</v>
      </c>
      <c r="B14" s="19" t="n"/>
      <c r="C14" s="19" t="n"/>
      <c r="D14" s="19" t="n"/>
      <c r="E14" s="19" t="n"/>
      <c r="F14" s="57">
        <f>IFERROR(VLOOKUP(E14,'🌐 Network Points'!$B$8:$J$107,3,0),"")</f>
        <v/>
      </c>
      <c r="G14" s="57">
        <f>IFERROR(VLOOKUP(E14,'🌐 Network Points'!$B$8:$J$107,5,0),"")</f>
        <v/>
      </c>
      <c r="H14" s="19" t="n"/>
      <c r="I14" s="19" t="n"/>
      <c r="J14" s="19" t="n"/>
      <c r="K14" s="19" t="n"/>
      <c r="L14" s="19" t="n"/>
      <c r="M14" s="19" t="n"/>
      <c r="N14" s="19" t="n"/>
      <c r="O14" s="58" t="n"/>
      <c r="P14" s="19" t="n"/>
      <c r="Q14" s="19" t="n"/>
      <c r="R14" s="59" t="n"/>
      <c r="S14" s="19" t="n"/>
    </row>
    <row r="15" ht="38" customHeight="1">
      <c r="A15" s="52" t="n">
        <v>7</v>
      </c>
      <c r="B15" s="12" t="n"/>
      <c r="C15" s="12" t="n"/>
      <c r="D15" s="12" t="n"/>
      <c r="E15" s="12" t="n"/>
      <c r="F15" s="53">
        <f>IFERROR(VLOOKUP(E15,'🌐 Network Points'!$B$8:$J$107,3,0),"")</f>
        <v/>
      </c>
      <c r="G15" s="53">
        <f>IFERROR(VLOOKUP(E15,'🌐 Network Points'!$B$8:$J$107,5,0),"")</f>
        <v/>
      </c>
      <c r="H15" s="12" t="n"/>
      <c r="I15" s="12" t="n"/>
      <c r="J15" s="12" t="n"/>
      <c r="K15" s="12" t="n"/>
      <c r="L15" s="12" t="n"/>
      <c r="M15" s="12" t="n"/>
      <c r="N15" s="12" t="n"/>
      <c r="O15" s="54" t="n"/>
      <c r="P15" s="12" t="n"/>
      <c r="Q15" s="12" t="n"/>
      <c r="R15" s="55" t="n"/>
      <c r="S15" s="12" t="n"/>
    </row>
    <row r="16" ht="38" customHeight="1">
      <c r="A16" s="56" t="n">
        <v>8</v>
      </c>
      <c r="B16" s="19" t="n"/>
      <c r="C16" s="19" t="n"/>
      <c r="D16" s="19" t="n"/>
      <c r="E16" s="19" t="n"/>
      <c r="F16" s="57">
        <f>IFERROR(VLOOKUP(E16,'🌐 Network Points'!$B$8:$J$107,3,0),"")</f>
        <v/>
      </c>
      <c r="G16" s="57">
        <f>IFERROR(VLOOKUP(E16,'🌐 Network Points'!$B$8:$J$107,5,0),"")</f>
        <v/>
      </c>
      <c r="H16" s="19" t="n"/>
      <c r="I16" s="19" t="n"/>
      <c r="J16" s="19" t="n"/>
      <c r="K16" s="19" t="n"/>
      <c r="L16" s="19" t="n"/>
      <c r="M16" s="19" t="n"/>
      <c r="N16" s="19" t="n"/>
      <c r="O16" s="58" t="n"/>
      <c r="P16" s="19" t="n"/>
      <c r="Q16" s="19" t="n"/>
      <c r="R16" s="59" t="n"/>
      <c r="S16" s="19" t="n"/>
    </row>
    <row r="17" ht="38" customHeight="1">
      <c r="A17" s="52" t="n">
        <v>9</v>
      </c>
      <c r="B17" s="12" t="n"/>
      <c r="C17" s="12" t="n"/>
      <c r="D17" s="12" t="n"/>
      <c r="E17" s="12" t="n"/>
      <c r="F17" s="53">
        <f>IFERROR(VLOOKUP(E17,'🌐 Network Points'!$B$8:$J$107,3,0),"")</f>
        <v/>
      </c>
      <c r="G17" s="53">
        <f>IFERROR(VLOOKUP(E17,'🌐 Network Points'!$B$8:$J$107,5,0),"")</f>
        <v/>
      </c>
      <c r="H17" s="12" t="n"/>
      <c r="I17" s="12" t="n"/>
      <c r="J17" s="12" t="n"/>
      <c r="K17" s="12" t="n"/>
      <c r="L17" s="12" t="n"/>
      <c r="M17" s="12" t="n"/>
      <c r="N17" s="12" t="n"/>
      <c r="O17" s="54" t="n"/>
      <c r="P17" s="12" t="n"/>
      <c r="Q17" s="12" t="n"/>
      <c r="R17" s="55" t="n"/>
      <c r="S17" s="12" t="n"/>
    </row>
    <row r="18" ht="38" customHeight="1">
      <c r="A18" s="56" t="n">
        <v>10</v>
      </c>
      <c r="B18" s="19" t="n"/>
      <c r="C18" s="19" t="n"/>
      <c r="D18" s="19" t="n"/>
      <c r="E18" s="19" t="n"/>
      <c r="F18" s="57">
        <f>IFERROR(VLOOKUP(E18,'🌐 Network Points'!$B$8:$J$107,3,0),"")</f>
        <v/>
      </c>
      <c r="G18" s="57">
        <f>IFERROR(VLOOKUP(E18,'🌐 Network Points'!$B$8:$J$107,5,0),"")</f>
        <v/>
      </c>
      <c r="H18" s="19" t="n"/>
      <c r="I18" s="19" t="n"/>
      <c r="J18" s="19" t="n"/>
      <c r="K18" s="19" t="n"/>
      <c r="L18" s="19" t="n"/>
      <c r="M18" s="19" t="n"/>
      <c r="N18" s="19" t="n"/>
      <c r="O18" s="58" t="n"/>
      <c r="P18" s="19" t="n"/>
      <c r="Q18" s="19" t="n"/>
      <c r="R18" s="59" t="n"/>
      <c r="S18" s="19" t="n"/>
    </row>
    <row r="19" ht="38" customHeight="1">
      <c r="A19" s="52" t="n">
        <v>11</v>
      </c>
      <c r="B19" s="12" t="n"/>
      <c r="C19" s="12" t="n"/>
      <c r="D19" s="12" t="n"/>
      <c r="E19" s="12" t="n"/>
      <c r="F19" s="53">
        <f>IFERROR(VLOOKUP(E19,'🌐 Network Points'!$B$8:$J$107,3,0),"")</f>
        <v/>
      </c>
      <c r="G19" s="53">
        <f>IFERROR(VLOOKUP(E19,'🌐 Network Points'!$B$8:$J$107,5,0),"")</f>
        <v/>
      </c>
      <c r="H19" s="12" t="n"/>
      <c r="I19" s="12" t="n"/>
      <c r="J19" s="12" t="n"/>
      <c r="K19" s="12" t="n"/>
      <c r="L19" s="12" t="n"/>
      <c r="M19" s="12" t="n"/>
      <c r="N19" s="12" t="n"/>
      <c r="O19" s="54" t="n"/>
      <c r="P19" s="12" t="n"/>
      <c r="Q19" s="12" t="n"/>
      <c r="R19" s="55" t="n"/>
      <c r="S19" s="12" t="n"/>
    </row>
    <row r="20" ht="38" customHeight="1">
      <c r="A20" s="56" t="n">
        <v>12</v>
      </c>
      <c r="B20" s="19" t="n"/>
      <c r="C20" s="19" t="n"/>
      <c r="D20" s="19" t="n"/>
      <c r="E20" s="19" t="n"/>
      <c r="F20" s="57">
        <f>IFERROR(VLOOKUP(E20,'🌐 Network Points'!$B$8:$J$107,3,0),"")</f>
        <v/>
      </c>
      <c r="G20" s="57">
        <f>IFERROR(VLOOKUP(E20,'🌐 Network Points'!$B$8:$J$107,5,0),"")</f>
        <v/>
      </c>
      <c r="H20" s="19" t="n"/>
      <c r="I20" s="19" t="n"/>
      <c r="J20" s="19" t="n"/>
      <c r="K20" s="19" t="n"/>
      <c r="L20" s="19" t="n"/>
      <c r="M20" s="19" t="n"/>
      <c r="N20" s="19" t="n"/>
      <c r="O20" s="58" t="n"/>
      <c r="P20" s="19" t="n"/>
      <c r="Q20" s="19" t="n"/>
      <c r="R20" s="59" t="n"/>
      <c r="S20" s="19" t="n"/>
    </row>
    <row r="21" ht="38" customHeight="1">
      <c r="A21" s="52" t="n">
        <v>13</v>
      </c>
      <c r="B21" s="12" t="n"/>
      <c r="C21" s="12" t="n"/>
      <c r="D21" s="12" t="n"/>
      <c r="E21" s="12" t="n"/>
      <c r="F21" s="53">
        <f>IFERROR(VLOOKUP(E21,'🌐 Network Points'!$B$8:$J$107,3,0),"")</f>
        <v/>
      </c>
      <c r="G21" s="53">
        <f>IFERROR(VLOOKUP(E21,'🌐 Network Points'!$B$8:$J$107,5,0),"")</f>
        <v/>
      </c>
      <c r="H21" s="12" t="n"/>
      <c r="I21" s="12" t="n"/>
      <c r="J21" s="12" t="n"/>
      <c r="K21" s="12" t="n"/>
      <c r="L21" s="12" t="n"/>
      <c r="M21" s="12" t="n"/>
      <c r="N21" s="12" t="n"/>
      <c r="O21" s="54" t="n"/>
      <c r="P21" s="12" t="n"/>
      <c r="Q21" s="12" t="n"/>
      <c r="R21" s="55" t="n"/>
      <c r="S21" s="12" t="n"/>
    </row>
    <row r="22" ht="38" customHeight="1">
      <c r="A22" s="56" t="n">
        <v>14</v>
      </c>
      <c r="B22" s="19" t="n"/>
      <c r="C22" s="19" t="n"/>
      <c r="D22" s="19" t="n"/>
      <c r="E22" s="19" t="n"/>
      <c r="F22" s="57">
        <f>IFERROR(VLOOKUP(E22,'🌐 Network Points'!$B$8:$J$107,3,0),"")</f>
        <v/>
      </c>
      <c r="G22" s="57">
        <f>IFERROR(VLOOKUP(E22,'🌐 Network Points'!$B$8:$J$107,5,0),"")</f>
        <v/>
      </c>
      <c r="H22" s="19" t="n"/>
      <c r="I22" s="19" t="n"/>
      <c r="J22" s="19" t="n"/>
      <c r="K22" s="19" t="n"/>
      <c r="L22" s="19" t="n"/>
      <c r="M22" s="19" t="n"/>
      <c r="N22" s="19" t="n"/>
      <c r="O22" s="58" t="n"/>
      <c r="P22" s="19" t="n"/>
      <c r="Q22" s="19" t="n"/>
      <c r="R22" s="59" t="n"/>
      <c r="S22" s="19" t="n"/>
    </row>
    <row r="23" ht="38" customHeight="1">
      <c r="A23" s="52" t="n">
        <v>15</v>
      </c>
      <c r="B23" s="12" t="n"/>
      <c r="C23" s="12" t="n"/>
      <c r="D23" s="12" t="n"/>
      <c r="E23" s="12" t="n"/>
      <c r="F23" s="53">
        <f>IFERROR(VLOOKUP(E23,'🌐 Network Points'!$B$8:$J$107,3,0),"")</f>
        <v/>
      </c>
      <c r="G23" s="53">
        <f>IFERROR(VLOOKUP(E23,'🌐 Network Points'!$B$8:$J$107,5,0),"")</f>
        <v/>
      </c>
      <c r="H23" s="12" t="n"/>
      <c r="I23" s="12" t="n"/>
      <c r="J23" s="12" t="n"/>
      <c r="K23" s="12" t="n"/>
      <c r="L23" s="12" t="n"/>
      <c r="M23" s="12" t="n"/>
      <c r="N23" s="12" t="n"/>
      <c r="O23" s="54" t="n"/>
      <c r="P23" s="12" t="n"/>
      <c r="Q23" s="12" t="n"/>
      <c r="R23" s="55" t="n"/>
      <c r="S23" s="12" t="n"/>
    </row>
    <row r="24" ht="38" customHeight="1">
      <c r="A24" s="56" t="n">
        <v>16</v>
      </c>
      <c r="B24" s="19" t="n"/>
      <c r="C24" s="19" t="n"/>
      <c r="D24" s="19" t="n"/>
      <c r="E24" s="19" t="n"/>
      <c r="F24" s="57">
        <f>IFERROR(VLOOKUP(E24,'🌐 Network Points'!$B$8:$J$107,3,0),"")</f>
        <v/>
      </c>
      <c r="G24" s="57">
        <f>IFERROR(VLOOKUP(E24,'🌐 Network Points'!$B$8:$J$107,5,0),"")</f>
        <v/>
      </c>
      <c r="H24" s="19" t="n"/>
      <c r="I24" s="19" t="n"/>
      <c r="J24" s="19" t="n"/>
      <c r="K24" s="19" t="n"/>
      <c r="L24" s="19" t="n"/>
      <c r="M24" s="19" t="n"/>
      <c r="N24" s="19" t="n"/>
      <c r="O24" s="58" t="n"/>
      <c r="P24" s="19" t="n"/>
      <c r="Q24" s="19" t="n"/>
      <c r="R24" s="59" t="n"/>
      <c r="S24" s="19" t="n"/>
    </row>
    <row r="25" ht="38" customHeight="1">
      <c r="A25" s="52" t="n">
        <v>17</v>
      </c>
      <c r="B25" s="12" t="n"/>
      <c r="C25" s="12" t="n"/>
      <c r="D25" s="12" t="n"/>
      <c r="E25" s="12" t="n"/>
      <c r="F25" s="53">
        <f>IFERROR(VLOOKUP(E25,'🌐 Network Points'!$B$8:$J$107,3,0),"")</f>
        <v/>
      </c>
      <c r="G25" s="53">
        <f>IFERROR(VLOOKUP(E25,'🌐 Network Points'!$B$8:$J$107,5,0),"")</f>
        <v/>
      </c>
      <c r="H25" s="12" t="n"/>
      <c r="I25" s="12" t="n"/>
      <c r="J25" s="12" t="n"/>
      <c r="K25" s="12" t="n"/>
      <c r="L25" s="12" t="n"/>
      <c r="M25" s="12" t="n"/>
      <c r="N25" s="12" t="n"/>
      <c r="O25" s="54" t="n"/>
      <c r="P25" s="12" t="n"/>
      <c r="Q25" s="12" t="n"/>
      <c r="R25" s="55" t="n"/>
      <c r="S25" s="12" t="n"/>
    </row>
    <row r="26" ht="38" customHeight="1">
      <c r="A26" s="56" t="n">
        <v>18</v>
      </c>
      <c r="B26" s="19" t="n"/>
      <c r="C26" s="19" t="n"/>
      <c r="D26" s="19" t="n"/>
      <c r="E26" s="19" t="n"/>
      <c r="F26" s="57">
        <f>IFERROR(VLOOKUP(E26,'🌐 Network Points'!$B$8:$J$107,3,0),"")</f>
        <v/>
      </c>
      <c r="G26" s="57">
        <f>IFERROR(VLOOKUP(E26,'🌐 Network Points'!$B$8:$J$107,5,0),"")</f>
        <v/>
      </c>
      <c r="H26" s="19" t="n"/>
      <c r="I26" s="19" t="n"/>
      <c r="J26" s="19" t="n"/>
      <c r="K26" s="19" t="n"/>
      <c r="L26" s="19" t="n"/>
      <c r="M26" s="19" t="n"/>
      <c r="N26" s="19" t="n"/>
      <c r="O26" s="58" t="n"/>
      <c r="P26" s="19" t="n"/>
      <c r="Q26" s="19" t="n"/>
      <c r="R26" s="59" t="n"/>
      <c r="S26" s="19" t="n"/>
    </row>
    <row r="27" ht="38" customHeight="1">
      <c r="A27" s="52" t="n">
        <v>19</v>
      </c>
      <c r="B27" s="12" t="n"/>
      <c r="C27" s="12" t="n"/>
      <c r="D27" s="12" t="n"/>
      <c r="E27" s="12" t="n"/>
      <c r="F27" s="53">
        <f>IFERROR(VLOOKUP(E27,'🌐 Network Points'!$B$8:$J$107,3,0),"")</f>
        <v/>
      </c>
      <c r="G27" s="53">
        <f>IFERROR(VLOOKUP(E27,'🌐 Network Points'!$B$8:$J$107,5,0),"")</f>
        <v/>
      </c>
      <c r="H27" s="12" t="n"/>
      <c r="I27" s="12" t="n"/>
      <c r="J27" s="12" t="n"/>
      <c r="K27" s="12" t="n"/>
      <c r="L27" s="12" t="n"/>
      <c r="M27" s="12" t="n"/>
      <c r="N27" s="12" t="n"/>
      <c r="O27" s="54" t="n"/>
      <c r="P27" s="12" t="n"/>
      <c r="Q27" s="12" t="n"/>
      <c r="R27" s="55" t="n"/>
      <c r="S27" s="12" t="n"/>
    </row>
    <row r="28" ht="38" customHeight="1">
      <c r="A28" s="56" t="n">
        <v>20</v>
      </c>
      <c r="B28" s="19" t="n"/>
      <c r="C28" s="19" t="n"/>
      <c r="D28" s="19" t="n"/>
      <c r="E28" s="19" t="n"/>
      <c r="F28" s="57">
        <f>IFERROR(VLOOKUP(E28,'🌐 Network Points'!$B$8:$J$107,3,0),"")</f>
        <v/>
      </c>
      <c r="G28" s="57">
        <f>IFERROR(VLOOKUP(E28,'🌐 Network Points'!$B$8:$J$107,5,0),"")</f>
        <v/>
      </c>
      <c r="H28" s="19" t="n"/>
      <c r="I28" s="19" t="n"/>
      <c r="J28" s="19" t="n"/>
      <c r="K28" s="19" t="n"/>
      <c r="L28" s="19" t="n"/>
      <c r="M28" s="19" t="n"/>
      <c r="N28" s="19" t="n"/>
      <c r="O28" s="58" t="n"/>
      <c r="P28" s="19" t="n"/>
      <c r="Q28" s="19" t="n"/>
      <c r="R28" s="59" t="n"/>
      <c r="S28" s="19" t="n"/>
    </row>
    <row r="29" ht="38" customHeight="1">
      <c r="A29" s="52" t="n">
        <v>21</v>
      </c>
      <c r="B29" s="12" t="n"/>
      <c r="C29" s="12" t="n"/>
      <c r="D29" s="12" t="n"/>
      <c r="E29" s="12" t="n"/>
      <c r="F29" s="53">
        <f>IFERROR(VLOOKUP(E29,'🌐 Network Points'!$B$8:$J$107,3,0),"")</f>
        <v/>
      </c>
      <c r="G29" s="53">
        <f>IFERROR(VLOOKUP(E29,'🌐 Network Points'!$B$8:$J$107,5,0),"")</f>
        <v/>
      </c>
      <c r="H29" s="12" t="n"/>
      <c r="I29" s="12" t="n"/>
      <c r="J29" s="12" t="n"/>
      <c r="K29" s="12" t="n"/>
      <c r="L29" s="12" t="n"/>
      <c r="M29" s="12" t="n"/>
      <c r="N29" s="12" t="n"/>
      <c r="O29" s="54" t="n"/>
      <c r="P29" s="12" t="n"/>
      <c r="Q29" s="12" t="n"/>
      <c r="R29" s="55" t="n"/>
      <c r="S29" s="12" t="n"/>
    </row>
    <row r="30" ht="38" customHeight="1">
      <c r="A30" s="56" t="n">
        <v>22</v>
      </c>
      <c r="B30" s="19" t="n"/>
      <c r="C30" s="19" t="n"/>
      <c r="D30" s="19" t="n"/>
      <c r="E30" s="19" t="n"/>
      <c r="F30" s="57">
        <f>IFERROR(VLOOKUP(E30,'🌐 Network Points'!$B$8:$J$107,3,0),"")</f>
        <v/>
      </c>
      <c r="G30" s="57">
        <f>IFERROR(VLOOKUP(E30,'🌐 Network Points'!$B$8:$J$107,5,0),"")</f>
        <v/>
      </c>
      <c r="H30" s="19" t="n"/>
      <c r="I30" s="19" t="n"/>
      <c r="J30" s="19" t="n"/>
      <c r="K30" s="19" t="n"/>
      <c r="L30" s="19" t="n"/>
      <c r="M30" s="19" t="n"/>
      <c r="N30" s="19" t="n"/>
      <c r="O30" s="58" t="n"/>
      <c r="P30" s="19" t="n"/>
      <c r="Q30" s="19" t="n"/>
      <c r="R30" s="59" t="n"/>
      <c r="S30" s="19" t="n"/>
    </row>
    <row r="31" ht="38" customHeight="1">
      <c r="A31" s="52" t="n">
        <v>23</v>
      </c>
      <c r="B31" s="12" t="n"/>
      <c r="C31" s="12" t="n"/>
      <c r="D31" s="12" t="n"/>
      <c r="E31" s="12" t="n"/>
      <c r="F31" s="53">
        <f>IFERROR(VLOOKUP(E31,'🌐 Network Points'!$B$8:$J$107,3,0),"")</f>
        <v/>
      </c>
      <c r="G31" s="53">
        <f>IFERROR(VLOOKUP(E31,'🌐 Network Points'!$B$8:$J$107,5,0),"")</f>
        <v/>
      </c>
      <c r="H31" s="12" t="n"/>
      <c r="I31" s="12" t="n"/>
      <c r="J31" s="12" t="n"/>
      <c r="K31" s="12" t="n"/>
      <c r="L31" s="12" t="n"/>
      <c r="M31" s="12" t="n"/>
      <c r="N31" s="12" t="n"/>
      <c r="O31" s="54" t="n"/>
      <c r="P31" s="12" t="n"/>
      <c r="Q31" s="12" t="n"/>
      <c r="R31" s="55" t="n"/>
      <c r="S31" s="12" t="n"/>
    </row>
    <row r="32" ht="38" customHeight="1">
      <c r="A32" s="56" t="n">
        <v>24</v>
      </c>
      <c r="B32" s="19" t="n"/>
      <c r="C32" s="19" t="n"/>
      <c r="D32" s="19" t="n"/>
      <c r="E32" s="19" t="n"/>
      <c r="F32" s="57">
        <f>IFERROR(VLOOKUP(E32,'🌐 Network Points'!$B$8:$J$107,3,0),"")</f>
        <v/>
      </c>
      <c r="G32" s="57">
        <f>IFERROR(VLOOKUP(E32,'🌐 Network Points'!$B$8:$J$107,5,0),"")</f>
        <v/>
      </c>
      <c r="H32" s="19" t="n"/>
      <c r="I32" s="19" t="n"/>
      <c r="J32" s="19" t="n"/>
      <c r="K32" s="19" t="n"/>
      <c r="L32" s="19" t="n"/>
      <c r="M32" s="19" t="n"/>
      <c r="N32" s="19" t="n"/>
      <c r="O32" s="58" t="n"/>
      <c r="P32" s="19" t="n"/>
      <c r="Q32" s="19" t="n"/>
      <c r="R32" s="59" t="n"/>
      <c r="S32" s="19" t="n"/>
    </row>
    <row r="33" ht="38" customHeight="1">
      <c r="A33" s="52" t="n">
        <v>25</v>
      </c>
      <c r="B33" s="12" t="n"/>
      <c r="C33" s="12" t="n"/>
      <c r="D33" s="12" t="n"/>
      <c r="E33" s="12" t="n"/>
      <c r="F33" s="53">
        <f>IFERROR(VLOOKUP(E33,'🌐 Network Points'!$B$8:$J$107,3,0),"")</f>
        <v/>
      </c>
      <c r="G33" s="53">
        <f>IFERROR(VLOOKUP(E33,'🌐 Network Points'!$B$8:$J$107,5,0),"")</f>
        <v/>
      </c>
      <c r="H33" s="12" t="n"/>
      <c r="I33" s="12" t="n"/>
      <c r="J33" s="12" t="n"/>
      <c r="K33" s="12" t="n"/>
      <c r="L33" s="12" t="n"/>
      <c r="M33" s="12" t="n"/>
      <c r="N33" s="12" t="n"/>
      <c r="O33" s="54" t="n"/>
      <c r="P33" s="12" t="n"/>
      <c r="Q33" s="12" t="n"/>
      <c r="R33" s="55" t="n"/>
      <c r="S33" s="12" t="n"/>
    </row>
    <row r="34" ht="38" customHeight="1">
      <c r="A34" s="56" t="n">
        <v>26</v>
      </c>
      <c r="B34" s="19" t="n"/>
      <c r="C34" s="19" t="n"/>
      <c r="D34" s="19" t="n"/>
      <c r="E34" s="19" t="n"/>
      <c r="F34" s="57">
        <f>IFERROR(VLOOKUP(E34,'🌐 Network Points'!$B$8:$J$107,3,0),"")</f>
        <v/>
      </c>
      <c r="G34" s="57">
        <f>IFERROR(VLOOKUP(E34,'🌐 Network Points'!$B$8:$J$107,5,0),"")</f>
        <v/>
      </c>
      <c r="H34" s="19" t="n"/>
      <c r="I34" s="19" t="n"/>
      <c r="J34" s="19" t="n"/>
      <c r="K34" s="19" t="n"/>
      <c r="L34" s="19" t="n"/>
      <c r="M34" s="19" t="n"/>
      <c r="N34" s="19" t="n"/>
      <c r="O34" s="58" t="n"/>
      <c r="P34" s="19" t="n"/>
      <c r="Q34" s="19" t="n"/>
      <c r="R34" s="59" t="n"/>
      <c r="S34" s="19" t="n"/>
    </row>
    <row r="35" ht="38" customHeight="1">
      <c r="A35" s="52" t="n">
        <v>27</v>
      </c>
      <c r="B35" s="12" t="n"/>
      <c r="C35" s="12" t="n"/>
      <c r="D35" s="12" t="n"/>
      <c r="E35" s="12" t="n"/>
      <c r="F35" s="53">
        <f>IFERROR(VLOOKUP(E35,'🌐 Network Points'!$B$8:$J$107,3,0),"")</f>
        <v/>
      </c>
      <c r="G35" s="53">
        <f>IFERROR(VLOOKUP(E35,'🌐 Network Points'!$B$8:$J$107,5,0),"")</f>
        <v/>
      </c>
      <c r="H35" s="12" t="n"/>
      <c r="I35" s="12" t="n"/>
      <c r="J35" s="12" t="n"/>
      <c r="K35" s="12" t="n"/>
      <c r="L35" s="12" t="n"/>
      <c r="M35" s="12" t="n"/>
      <c r="N35" s="12" t="n"/>
      <c r="O35" s="54" t="n"/>
      <c r="P35" s="12" t="n"/>
      <c r="Q35" s="12" t="n"/>
      <c r="R35" s="55" t="n"/>
      <c r="S35" s="12" t="n"/>
    </row>
    <row r="36" ht="38" customHeight="1">
      <c r="A36" s="56" t="n">
        <v>28</v>
      </c>
      <c r="B36" s="19" t="n"/>
      <c r="C36" s="19" t="n"/>
      <c r="D36" s="19" t="n"/>
      <c r="E36" s="19" t="n"/>
      <c r="F36" s="57">
        <f>IFERROR(VLOOKUP(E36,'🌐 Network Points'!$B$8:$J$107,3,0),"")</f>
        <v/>
      </c>
      <c r="G36" s="57">
        <f>IFERROR(VLOOKUP(E36,'🌐 Network Points'!$B$8:$J$107,5,0),"")</f>
        <v/>
      </c>
      <c r="H36" s="19" t="n"/>
      <c r="I36" s="19" t="n"/>
      <c r="J36" s="19" t="n"/>
      <c r="K36" s="19" t="n"/>
      <c r="L36" s="19" t="n"/>
      <c r="M36" s="19" t="n"/>
      <c r="N36" s="19" t="n"/>
      <c r="O36" s="58" t="n"/>
      <c r="P36" s="19" t="n"/>
      <c r="Q36" s="19" t="n"/>
      <c r="R36" s="59" t="n"/>
      <c r="S36" s="19" t="n"/>
    </row>
    <row r="37" ht="38" customHeight="1">
      <c r="A37" s="52" t="n">
        <v>29</v>
      </c>
      <c r="B37" s="12" t="n"/>
      <c r="C37" s="12" t="n"/>
      <c r="D37" s="12" t="n"/>
      <c r="E37" s="12" t="n"/>
      <c r="F37" s="53">
        <f>IFERROR(VLOOKUP(E37,'🌐 Network Points'!$B$8:$J$107,3,0),"")</f>
        <v/>
      </c>
      <c r="G37" s="53">
        <f>IFERROR(VLOOKUP(E37,'🌐 Network Points'!$B$8:$J$107,5,0),"")</f>
        <v/>
      </c>
      <c r="H37" s="12" t="n"/>
      <c r="I37" s="12" t="n"/>
      <c r="J37" s="12" t="n"/>
      <c r="K37" s="12" t="n"/>
      <c r="L37" s="12" t="n"/>
      <c r="M37" s="12" t="n"/>
      <c r="N37" s="12" t="n"/>
      <c r="O37" s="54" t="n"/>
      <c r="P37" s="12" t="n"/>
      <c r="Q37" s="12" t="n"/>
      <c r="R37" s="55" t="n"/>
      <c r="S37" s="12" t="n"/>
    </row>
    <row r="38" ht="38" customHeight="1">
      <c r="A38" s="56" t="n">
        <v>30</v>
      </c>
      <c r="B38" s="19" t="n"/>
      <c r="C38" s="19" t="n"/>
      <c r="D38" s="19" t="n"/>
      <c r="E38" s="19" t="n"/>
      <c r="F38" s="57">
        <f>IFERROR(VLOOKUP(E38,'🌐 Network Points'!$B$8:$J$107,3,0),"")</f>
        <v/>
      </c>
      <c r="G38" s="57">
        <f>IFERROR(VLOOKUP(E38,'🌐 Network Points'!$B$8:$J$107,5,0),"")</f>
        <v/>
      </c>
      <c r="H38" s="19" t="n"/>
      <c r="I38" s="19" t="n"/>
      <c r="J38" s="19" t="n"/>
      <c r="K38" s="19" t="n"/>
      <c r="L38" s="19" t="n"/>
      <c r="M38" s="19" t="n"/>
      <c r="N38" s="19" t="n"/>
      <c r="O38" s="58" t="n"/>
      <c r="P38" s="19" t="n"/>
      <c r="Q38" s="19" t="n"/>
      <c r="R38" s="59" t="n"/>
      <c r="S38" s="19" t="n"/>
    </row>
    <row r="39" ht="38" customHeight="1">
      <c r="A39" s="52" t="n">
        <v>31</v>
      </c>
      <c r="B39" s="12" t="n"/>
      <c r="C39" s="12" t="n"/>
      <c r="D39" s="12" t="n"/>
      <c r="E39" s="12" t="n"/>
      <c r="F39" s="53">
        <f>IFERROR(VLOOKUP(E39,'🌐 Network Points'!$B$8:$J$107,3,0),"")</f>
        <v/>
      </c>
      <c r="G39" s="53">
        <f>IFERROR(VLOOKUP(E39,'🌐 Network Points'!$B$8:$J$107,5,0),"")</f>
        <v/>
      </c>
      <c r="H39" s="12" t="n"/>
      <c r="I39" s="12" t="n"/>
      <c r="J39" s="12" t="n"/>
      <c r="K39" s="12" t="n"/>
      <c r="L39" s="12" t="n"/>
      <c r="M39" s="12" t="n"/>
      <c r="N39" s="12" t="n"/>
      <c r="O39" s="54" t="n"/>
      <c r="P39" s="12" t="n"/>
      <c r="Q39" s="12" t="n"/>
      <c r="R39" s="55" t="n"/>
      <c r="S39" s="12" t="n"/>
    </row>
    <row r="40" ht="38" customHeight="1">
      <c r="A40" s="56" t="n">
        <v>32</v>
      </c>
      <c r="B40" s="19" t="n"/>
      <c r="C40" s="19" t="n"/>
      <c r="D40" s="19" t="n"/>
      <c r="E40" s="19" t="n"/>
      <c r="F40" s="57">
        <f>IFERROR(VLOOKUP(E40,'🌐 Network Points'!$B$8:$J$107,3,0),"")</f>
        <v/>
      </c>
      <c r="G40" s="57">
        <f>IFERROR(VLOOKUP(E40,'🌐 Network Points'!$B$8:$J$107,5,0),"")</f>
        <v/>
      </c>
      <c r="H40" s="19" t="n"/>
      <c r="I40" s="19" t="n"/>
      <c r="J40" s="19" t="n"/>
      <c r="K40" s="19" t="n"/>
      <c r="L40" s="19" t="n"/>
      <c r="M40" s="19" t="n"/>
      <c r="N40" s="19" t="n"/>
      <c r="O40" s="58" t="n"/>
      <c r="P40" s="19" t="n"/>
      <c r="Q40" s="19" t="n"/>
      <c r="R40" s="59" t="n"/>
      <c r="S40" s="19" t="n"/>
    </row>
    <row r="41" ht="38" customHeight="1">
      <c r="A41" s="52" t="n">
        <v>33</v>
      </c>
      <c r="B41" s="12" t="n"/>
      <c r="C41" s="12" t="n"/>
      <c r="D41" s="12" t="n"/>
      <c r="E41" s="12" t="n"/>
      <c r="F41" s="53">
        <f>IFERROR(VLOOKUP(E41,'🌐 Network Points'!$B$8:$J$107,3,0),"")</f>
        <v/>
      </c>
      <c r="G41" s="53">
        <f>IFERROR(VLOOKUP(E41,'🌐 Network Points'!$B$8:$J$107,5,0),"")</f>
        <v/>
      </c>
      <c r="H41" s="12" t="n"/>
      <c r="I41" s="12" t="n"/>
      <c r="J41" s="12" t="n"/>
      <c r="K41" s="12" t="n"/>
      <c r="L41" s="12" t="n"/>
      <c r="M41" s="12" t="n"/>
      <c r="N41" s="12" t="n"/>
      <c r="O41" s="54" t="n"/>
      <c r="P41" s="12" t="n"/>
      <c r="Q41" s="12" t="n"/>
      <c r="R41" s="55" t="n"/>
      <c r="S41" s="12" t="n"/>
    </row>
    <row r="42" ht="38" customHeight="1">
      <c r="A42" s="56" t="n">
        <v>34</v>
      </c>
      <c r="B42" s="19" t="n"/>
      <c r="C42" s="19" t="n"/>
      <c r="D42" s="19" t="n"/>
      <c r="E42" s="19" t="n"/>
      <c r="F42" s="57">
        <f>IFERROR(VLOOKUP(E42,'🌐 Network Points'!$B$8:$J$107,3,0),"")</f>
        <v/>
      </c>
      <c r="G42" s="57">
        <f>IFERROR(VLOOKUP(E42,'🌐 Network Points'!$B$8:$J$107,5,0),"")</f>
        <v/>
      </c>
      <c r="H42" s="19" t="n"/>
      <c r="I42" s="19" t="n"/>
      <c r="J42" s="19" t="n"/>
      <c r="K42" s="19" t="n"/>
      <c r="L42" s="19" t="n"/>
      <c r="M42" s="19" t="n"/>
      <c r="N42" s="19" t="n"/>
      <c r="O42" s="58" t="n"/>
      <c r="P42" s="19" t="n"/>
      <c r="Q42" s="19" t="n"/>
      <c r="R42" s="59" t="n"/>
      <c r="S42" s="19" t="n"/>
    </row>
    <row r="43" ht="38" customHeight="1">
      <c r="A43" s="52" t="n">
        <v>35</v>
      </c>
      <c r="B43" s="12" t="n"/>
      <c r="C43" s="12" t="n"/>
      <c r="D43" s="12" t="n"/>
      <c r="E43" s="12" t="n"/>
      <c r="F43" s="53">
        <f>IFERROR(VLOOKUP(E43,'🌐 Network Points'!$B$8:$J$107,3,0),"")</f>
        <v/>
      </c>
      <c r="G43" s="53">
        <f>IFERROR(VLOOKUP(E43,'🌐 Network Points'!$B$8:$J$107,5,0),"")</f>
        <v/>
      </c>
      <c r="H43" s="12" t="n"/>
      <c r="I43" s="12" t="n"/>
      <c r="J43" s="12" t="n"/>
      <c r="K43" s="12" t="n"/>
      <c r="L43" s="12" t="n"/>
      <c r="M43" s="12" t="n"/>
      <c r="N43" s="12" t="n"/>
      <c r="O43" s="54" t="n"/>
      <c r="P43" s="12" t="n"/>
      <c r="Q43" s="12" t="n"/>
      <c r="R43" s="55" t="n"/>
      <c r="S43" s="12" t="n"/>
    </row>
    <row r="44" ht="38" customHeight="1">
      <c r="A44" s="56" t="n">
        <v>36</v>
      </c>
      <c r="B44" s="19" t="n"/>
      <c r="C44" s="19" t="n"/>
      <c r="D44" s="19" t="n"/>
      <c r="E44" s="19" t="n"/>
      <c r="F44" s="57">
        <f>IFERROR(VLOOKUP(E44,'🌐 Network Points'!$B$8:$J$107,3,0),"")</f>
        <v/>
      </c>
      <c r="G44" s="57">
        <f>IFERROR(VLOOKUP(E44,'🌐 Network Points'!$B$8:$J$107,5,0),"")</f>
        <v/>
      </c>
      <c r="H44" s="19" t="n"/>
      <c r="I44" s="19" t="n"/>
      <c r="J44" s="19" t="n"/>
      <c r="K44" s="19" t="n"/>
      <c r="L44" s="19" t="n"/>
      <c r="M44" s="19" t="n"/>
      <c r="N44" s="19" t="n"/>
      <c r="O44" s="58" t="n"/>
      <c r="P44" s="19" t="n"/>
      <c r="Q44" s="19" t="n"/>
      <c r="R44" s="59" t="n"/>
      <c r="S44" s="19" t="n"/>
    </row>
    <row r="45" ht="38" customHeight="1">
      <c r="A45" s="52" t="n">
        <v>37</v>
      </c>
      <c r="B45" s="12" t="n"/>
      <c r="C45" s="12" t="n"/>
      <c r="D45" s="12" t="n"/>
      <c r="E45" s="12" t="n"/>
      <c r="F45" s="53">
        <f>IFERROR(VLOOKUP(E45,'🌐 Network Points'!$B$8:$J$107,3,0),"")</f>
        <v/>
      </c>
      <c r="G45" s="53">
        <f>IFERROR(VLOOKUP(E45,'🌐 Network Points'!$B$8:$J$107,5,0),"")</f>
        <v/>
      </c>
      <c r="H45" s="12" t="n"/>
      <c r="I45" s="12" t="n"/>
      <c r="J45" s="12" t="n"/>
      <c r="K45" s="12" t="n"/>
      <c r="L45" s="12" t="n"/>
      <c r="M45" s="12" t="n"/>
      <c r="N45" s="12" t="n"/>
      <c r="O45" s="54" t="n"/>
      <c r="P45" s="12" t="n"/>
      <c r="Q45" s="12" t="n"/>
      <c r="R45" s="55" t="n"/>
      <c r="S45" s="12" t="n"/>
    </row>
    <row r="46" ht="38" customHeight="1">
      <c r="A46" s="56" t="n">
        <v>38</v>
      </c>
      <c r="B46" s="19" t="n"/>
      <c r="C46" s="19" t="n"/>
      <c r="D46" s="19" t="n"/>
      <c r="E46" s="19" t="n"/>
      <c r="F46" s="57">
        <f>IFERROR(VLOOKUP(E46,'🌐 Network Points'!$B$8:$J$107,3,0),"")</f>
        <v/>
      </c>
      <c r="G46" s="57">
        <f>IFERROR(VLOOKUP(E46,'🌐 Network Points'!$B$8:$J$107,5,0),"")</f>
        <v/>
      </c>
      <c r="H46" s="19" t="n"/>
      <c r="I46" s="19" t="n"/>
      <c r="J46" s="19" t="n"/>
      <c r="K46" s="19" t="n"/>
      <c r="L46" s="19" t="n"/>
      <c r="M46" s="19" t="n"/>
      <c r="N46" s="19" t="n"/>
      <c r="O46" s="58" t="n"/>
      <c r="P46" s="19" t="n"/>
      <c r="Q46" s="19" t="n"/>
      <c r="R46" s="59" t="n"/>
      <c r="S46" s="19" t="n"/>
    </row>
    <row r="47" ht="38" customHeight="1">
      <c r="A47" s="52" t="n">
        <v>39</v>
      </c>
      <c r="B47" s="12" t="n"/>
      <c r="C47" s="12" t="n"/>
      <c r="D47" s="12" t="n"/>
      <c r="E47" s="12" t="n"/>
      <c r="F47" s="53">
        <f>IFERROR(VLOOKUP(E47,'🌐 Network Points'!$B$8:$J$107,3,0),"")</f>
        <v/>
      </c>
      <c r="G47" s="53">
        <f>IFERROR(VLOOKUP(E47,'🌐 Network Points'!$B$8:$J$107,5,0),"")</f>
        <v/>
      </c>
      <c r="H47" s="12" t="n"/>
      <c r="I47" s="12" t="n"/>
      <c r="J47" s="12" t="n"/>
      <c r="K47" s="12" t="n"/>
      <c r="L47" s="12" t="n"/>
      <c r="M47" s="12" t="n"/>
      <c r="N47" s="12" t="n"/>
      <c r="O47" s="54" t="n"/>
      <c r="P47" s="12" t="n"/>
      <c r="Q47" s="12" t="n"/>
      <c r="R47" s="55" t="n"/>
      <c r="S47" s="12" t="n"/>
    </row>
    <row r="48" ht="38" customHeight="1">
      <c r="A48" s="56" t="n">
        <v>40</v>
      </c>
      <c r="B48" s="19" t="n"/>
      <c r="C48" s="19" t="n"/>
      <c r="D48" s="19" t="n"/>
      <c r="E48" s="19" t="n"/>
      <c r="F48" s="57">
        <f>IFERROR(VLOOKUP(E48,'🌐 Network Points'!$B$8:$J$107,3,0),"")</f>
        <v/>
      </c>
      <c r="G48" s="57">
        <f>IFERROR(VLOOKUP(E48,'🌐 Network Points'!$B$8:$J$107,5,0),"")</f>
        <v/>
      </c>
      <c r="H48" s="19" t="n"/>
      <c r="I48" s="19" t="n"/>
      <c r="J48" s="19" t="n"/>
      <c r="K48" s="19" t="n"/>
      <c r="L48" s="19" t="n"/>
      <c r="M48" s="19" t="n"/>
      <c r="N48" s="19" t="n"/>
      <c r="O48" s="58" t="n"/>
      <c r="P48" s="19" t="n"/>
      <c r="Q48" s="19" t="n"/>
      <c r="R48" s="59" t="n"/>
      <c r="S48" s="19" t="n"/>
    </row>
    <row r="49" ht="38" customHeight="1">
      <c r="A49" s="52" t="n">
        <v>41</v>
      </c>
      <c r="B49" s="12" t="n"/>
      <c r="C49" s="12" t="n"/>
      <c r="D49" s="12" t="n"/>
      <c r="E49" s="12" t="n"/>
      <c r="F49" s="53">
        <f>IFERROR(VLOOKUP(E49,'🌐 Network Points'!$B$8:$J$107,3,0),"")</f>
        <v/>
      </c>
      <c r="G49" s="53">
        <f>IFERROR(VLOOKUP(E49,'🌐 Network Points'!$B$8:$J$107,5,0),"")</f>
        <v/>
      </c>
      <c r="H49" s="12" t="n"/>
      <c r="I49" s="12" t="n"/>
      <c r="J49" s="12" t="n"/>
      <c r="K49" s="12" t="n"/>
      <c r="L49" s="12" t="n"/>
      <c r="M49" s="12" t="n"/>
      <c r="N49" s="12" t="n"/>
      <c r="O49" s="54" t="n"/>
      <c r="P49" s="12" t="n"/>
      <c r="Q49" s="12" t="n"/>
      <c r="R49" s="55" t="n"/>
      <c r="S49" s="12" t="n"/>
    </row>
    <row r="50" ht="38" customHeight="1">
      <c r="A50" s="56" t="n">
        <v>42</v>
      </c>
      <c r="B50" s="19" t="n"/>
      <c r="C50" s="19" t="n"/>
      <c r="D50" s="19" t="n"/>
      <c r="E50" s="19" t="n"/>
      <c r="F50" s="57">
        <f>IFERROR(VLOOKUP(E50,'🌐 Network Points'!$B$8:$J$107,3,0),"")</f>
        <v/>
      </c>
      <c r="G50" s="57">
        <f>IFERROR(VLOOKUP(E50,'🌐 Network Points'!$B$8:$J$107,5,0),"")</f>
        <v/>
      </c>
      <c r="H50" s="19" t="n"/>
      <c r="I50" s="19" t="n"/>
      <c r="J50" s="19" t="n"/>
      <c r="K50" s="19" t="n"/>
      <c r="L50" s="19" t="n"/>
      <c r="M50" s="19" t="n"/>
      <c r="N50" s="19" t="n"/>
      <c r="O50" s="58" t="n"/>
      <c r="P50" s="19" t="n"/>
      <c r="Q50" s="19" t="n"/>
      <c r="R50" s="59" t="n"/>
      <c r="S50" s="19" t="n"/>
    </row>
    <row r="51" ht="38" customHeight="1">
      <c r="A51" s="52" t="n">
        <v>43</v>
      </c>
      <c r="B51" s="12" t="n"/>
      <c r="C51" s="12" t="n"/>
      <c r="D51" s="12" t="n"/>
      <c r="E51" s="12" t="n"/>
      <c r="F51" s="53">
        <f>IFERROR(VLOOKUP(E51,'🌐 Network Points'!$B$8:$J$107,3,0),"")</f>
        <v/>
      </c>
      <c r="G51" s="53">
        <f>IFERROR(VLOOKUP(E51,'🌐 Network Points'!$B$8:$J$107,5,0),"")</f>
        <v/>
      </c>
      <c r="H51" s="12" t="n"/>
      <c r="I51" s="12" t="n"/>
      <c r="J51" s="12" t="n"/>
      <c r="K51" s="12" t="n"/>
      <c r="L51" s="12" t="n"/>
      <c r="M51" s="12" t="n"/>
      <c r="N51" s="12" t="n"/>
      <c r="O51" s="54" t="n"/>
      <c r="P51" s="12" t="n"/>
      <c r="Q51" s="12" t="n"/>
      <c r="R51" s="55" t="n"/>
      <c r="S51" s="12" t="n"/>
    </row>
    <row r="52" ht="38" customHeight="1">
      <c r="A52" s="56" t="n">
        <v>44</v>
      </c>
      <c r="B52" s="19" t="n"/>
      <c r="C52" s="19" t="n"/>
      <c r="D52" s="19" t="n"/>
      <c r="E52" s="19" t="n"/>
      <c r="F52" s="57">
        <f>IFERROR(VLOOKUP(E52,'🌐 Network Points'!$B$8:$J$107,3,0),"")</f>
        <v/>
      </c>
      <c r="G52" s="57">
        <f>IFERROR(VLOOKUP(E52,'🌐 Network Points'!$B$8:$J$107,5,0),"")</f>
        <v/>
      </c>
      <c r="H52" s="19" t="n"/>
      <c r="I52" s="19" t="n"/>
      <c r="J52" s="19" t="n"/>
      <c r="K52" s="19" t="n"/>
      <c r="L52" s="19" t="n"/>
      <c r="M52" s="19" t="n"/>
      <c r="N52" s="19" t="n"/>
      <c r="O52" s="58" t="n"/>
      <c r="P52" s="19" t="n"/>
      <c r="Q52" s="19" t="n"/>
      <c r="R52" s="59" t="n"/>
      <c r="S52" s="19" t="n"/>
    </row>
    <row r="53" ht="38" customHeight="1">
      <c r="A53" s="52" t="n">
        <v>45</v>
      </c>
      <c r="B53" s="12" t="n"/>
      <c r="C53" s="12" t="n"/>
      <c r="D53" s="12" t="n"/>
      <c r="E53" s="12" t="n"/>
      <c r="F53" s="53">
        <f>IFERROR(VLOOKUP(E53,'🌐 Network Points'!$B$8:$J$107,3,0),"")</f>
        <v/>
      </c>
      <c r="G53" s="53">
        <f>IFERROR(VLOOKUP(E53,'🌐 Network Points'!$B$8:$J$107,5,0),"")</f>
        <v/>
      </c>
      <c r="H53" s="12" t="n"/>
      <c r="I53" s="12" t="n"/>
      <c r="J53" s="12" t="n"/>
      <c r="K53" s="12" t="n"/>
      <c r="L53" s="12" t="n"/>
      <c r="M53" s="12" t="n"/>
      <c r="N53" s="12" t="n"/>
      <c r="O53" s="54" t="n"/>
      <c r="P53" s="12" t="n"/>
      <c r="Q53" s="12" t="n"/>
      <c r="R53" s="55" t="n"/>
      <c r="S53" s="12" t="n"/>
    </row>
    <row r="54" ht="38" customHeight="1">
      <c r="A54" s="56" t="n">
        <v>46</v>
      </c>
      <c r="B54" s="19" t="n"/>
      <c r="C54" s="19" t="n"/>
      <c r="D54" s="19" t="n"/>
      <c r="E54" s="19" t="n"/>
      <c r="F54" s="57">
        <f>IFERROR(VLOOKUP(E54,'🌐 Network Points'!$B$8:$J$107,3,0),"")</f>
        <v/>
      </c>
      <c r="G54" s="57">
        <f>IFERROR(VLOOKUP(E54,'🌐 Network Points'!$B$8:$J$107,5,0),"")</f>
        <v/>
      </c>
      <c r="H54" s="19" t="n"/>
      <c r="I54" s="19" t="n"/>
      <c r="J54" s="19" t="n"/>
      <c r="K54" s="19" t="n"/>
      <c r="L54" s="19" t="n"/>
      <c r="M54" s="19" t="n"/>
      <c r="N54" s="19" t="n"/>
      <c r="O54" s="58" t="n"/>
      <c r="P54" s="19" t="n"/>
      <c r="Q54" s="19" t="n"/>
      <c r="R54" s="59" t="n"/>
      <c r="S54" s="19" t="n"/>
    </row>
    <row r="55" ht="38" customHeight="1">
      <c r="A55" s="52" t="n">
        <v>47</v>
      </c>
      <c r="B55" s="12" t="n"/>
      <c r="C55" s="12" t="n"/>
      <c r="D55" s="12" t="n"/>
      <c r="E55" s="12" t="n"/>
      <c r="F55" s="53">
        <f>IFERROR(VLOOKUP(E55,'🌐 Network Points'!$B$8:$J$107,3,0),"")</f>
        <v/>
      </c>
      <c r="G55" s="53">
        <f>IFERROR(VLOOKUP(E55,'🌐 Network Points'!$B$8:$J$107,5,0),"")</f>
        <v/>
      </c>
      <c r="H55" s="12" t="n"/>
      <c r="I55" s="12" t="n"/>
      <c r="J55" s="12" t="n"/>
      <c r="K55" s="12" t="n"/>
      <c r="L55" s="12" t="n"/>
      <c r="M55" s="12" t="n"/>
      <c r="N55" s="12" t="n"/>
      <c r="O55" s="54" t="n"/>
      <c r="P55" s="12" t="n"/>
      <c r="Q55" s="12" t="n"/>
      <c r="R55" s="55" t="n"/>
      <c r="S55" s="12" t="n"/>
    </row>
    <row r="56" ht="38" customHeight="1">
      <c r="A56" s="56" t="n">
        <v>48</v>
      </c>
      <c r="B56" s="19" t="n"/>
      <c r="C56" s="19" t="n"/>
      <c r="D56" s="19" t="n"/>
      <c r="E56" s="19" t="n"/>
      <c r="F56" s="57">
        <f>IFERROR(VLOOKUP(E56,'🌐 Network Points'!$B$8:$J$107,3,0),"")</f>
        <v/>
      </c>
      <c r="G56" s="57">
        <f>IFERROR(VLOOKUP(E56,'🌐 Network Points'!$B$8:$J$107,5,0),"")</f>
        <v/>
      </c>
      <c r="H56" s="19" t="n"/>
      <c r="I56" s="19" t="n"/>
      <c r="J56" s="19" t="n"/>
      <c r="K56" s="19" t="n"/>
      <c r="L56" s="19" t="n"/>
      <c r="M56" s="19" t="n"/>
      <c r="N56" s="19" t="n"/>
      <c r="O56" s="58" t="n"/>
      <c r="P56" s="19" t="n"/>
      <c r="Q56" s="19" t="n"/>
      <c r="R56" s="59" t="n"/>
      <c r="S56" s="19" t="n"/>
    </row>
    <row r="57" ht="38" customHeight="1">
      <c r="A57" s="52" t="n">
        <v>49</v>
      </c>
      <c r="B57" s="12" t="n"/>
      <c r="C57" s="12" t="n"/>
      <c r="D57" s="12" t="n"/>
      <c r="E57" s="12" t="n"/>
      <c r="F57" s="53">
        <f>IFERROR(VLOOKUP(E57,'🌐 Network Points'!$B$8:$J$107,3,0),"")</f>
        <v/>
      </c>
      <c r="G57" s="53">
        <f>IFERROR(VLOOKUP(E57,'🌐 Network Points'!$B$8:$J$107,5,0),"")</f>
        <v/>
      </c>
      <c r="H57" s="12" t="n"/>
      <c r="I57" s="12" t="n"/>
      <c r="J57" s="12" t="n"/>
      <c r="K57" s="12" t="n"/>
      <c r="L57" s="12" t="n"/>
      <c r="M57" s="12" t="n"/>
      <c r="N57" s="12" t="n"/>
      <c r="O57" s="54" t="n"/>
      <c r="P57" s="12" t="n"/>
      <c r="Q57" s="12" t="n"/>
      <c r="R57" s="55" t="n"/>
      <c r="S57" s="12" t="n"/>
    </row>
    <row r="58" ht="38" customHeight="1">
      <c r="A58" s="56" t="n">
        <v>50</v>
      </c>
      <c r="B58" s="19" t="n"/>
      <c r="C58" s="19" t="n"/>
      <c r="D58" s="19" t="n"/>
      <c r="E58" s="19" t="n"/>
      <c r="F58" s="57">
        <f>IFERROR(VLOOKUP(E58,'🌐 Network Points'!$B$8:$J$107,3,0),"")</f>
        <v/>
      </c>
      <c r="G58" s="57">
        <f>IFERROR(VLOOKUP(E58,'🌐 Network Points'!$B$8:$J$107,5,0),"")</f>
        <v/>
      </c>
      <c r="H58" s="19" t="n"/>
      <c r="I58" s="19" t="n"/>
      <c r="J58" s="19" t="n"/>
      <c r="K58" s="19" t="n"/>
      <c r="L58" s="19" t="n"/>
      <c r="M58" s="19" t="n"/>
      <c r="N58" s="19" t="n"/>
      <c r="O58" s="58" t="n"/>
      <c r="P58" s="19" t="n"/>
      <c r="Q58" s="19" t="n"/>
      <c r="R58" s="59" t="n"/>
      <c r="S58" s="19" t="n"/>
    </row>
    <row r="59" ht="38" customHeight="1">
      <c r="A59" s="52" t="n">
        <v>51</v>
      </c>
      <c r="B59" s="12" t="n"/>
      <c r="C59" s="12" t="n"/>
      <c r="D59" s="12" t="n"/>
      <c r="E59" s="12" t="n"/>
      <c r="F59" s="53">
        <f>IFERROR(VLOOKUP(E59,'🌐 Network Points'!$B$8:$J$107,3,0),"")</f>
        <v/>
      </c>
      <c r="G59" s="53">
        <f>IFERROR(VLOOKUP(E59,'🌐 Network Points'!$B$8:$J$107,5,0),"")</f>
        <v/>
      </c>
      <c r="H59" s="12" t="n"/>
      <c r="I59" s="12" t="n"/>
      <c r="J59" s="12" t="n"/>
      <c r="K59" s="12" t="n"/>
      <c r="L59" s="12" t="n"/>
      <c r="M59" s="12" t="n"/>
      <c r="N59" s="12" t="n"/>
      <c r="O59" s="54" t="n"/>
      <c r="P59" s="12" t="n"/>
      <c r="Q59" s="12" t="n"/>
      <c r="R59" s="55" t="n"/>
      <c r="S59" s="12" t="n"/>
    </row>
    <row r="60" ht="38" customHeight="1">
      <c r="A60" s="56" t="n">
        <v>52</v>
      </c>
      <c r="B60" s="19" t="n"/>
      <c r="C60" s="19" t="n"/>
      <c r="D60" s="19" t="n"/>
      <c r="E60" s="19" t="n"/>
      <c r="F60" s="57">
        <f>IFERROR(VLOOKUP(E60,'🌐 Network Points'!$B$8:$J$107,3,0),"")</f>
        <v/>
      </c>
      <c r="G60" s="57">
        <f>IFERROR(VLOOKUP(E60,'🌐 Network Points'!$B$8:$J$107,5,0),"")</f>
        <v/>
      </c>
      <c r="H60" s="19" t="n"/>
      <c r="I60" s="19" t="n"/>
      <c r="J60" s="19" t="n"/>
      <c r="K60" s="19" t="n"/>
      <c r="L60" s="19" t="n"/>
      <c r="M60" s="19" t="n"/>
      <c r="N60" s="19" t="n"/>
      <c r="O60" s="58" t="n"/>
      <c r="P60" s="19" t="n"/>
      <c r="Q60" s="19" t="n"/>
      <c r="R60" s="59" t="n"/>
      <c r="S60" s="19" t="n"/>
    </row>
    <row r="61" ht="38" customHeight="1">
      <c r="A61" s="52" t="n">
        <v>53</v>
      </c>
      <c r="B61" s="12" t="n"/>
      <c r="C61" s="12" t="n"/>
      <c r="D61" s="12" t="n"/>
      <c r="E61" s="12" t="n"/>
      <c r="F61" s="53">
        <f>IFERROR(VLOOKUP(E61,'🌐 Network Points'!$B$8:$J$107,3,0),"")</f>
        <v/>
      </c>
      <c r="G61" s="53">
        <f>IFERROR(VLOOKUP(E61,'🌐 Network Points'!$B$8:$J$107,5,0),"")</f>
        <v/>
      </c>
      <c r="H61" s="12" t="n"/>
      <c r="I61" s="12" t="n"/>
      <c r="J61" s="12" t="n"/>
      <c r="K61" s="12" t="n"/>
      <c r="L61" s="12" t="n"/>
      <c r="M61" s="12" t="n"/>
      <c r="N61" s="12" t="n"/>
      <c r="O61" s="54" t="n"/>
      <c r="P61" s="12" t="n"/>
      <c r="Q61" s="12" t="n"/>
      <c r="R61" s="55" t="n"/>
      <c r="S61" s="12" t="n"/>
    </row>
    <row r="62" ht="38" customHeight="1">
      <c r="A62" s="56" t="n">
        <v>54</v>
      </c>
      <c r="B62" s="19" t="n"/>
      <c r="C62" s="19" t="n"/>
      <c r="D62" s="19" t="n"/>
      <c r="E62" s="19" t="n"/>
      <c r="F62" s="57">
        <f>IFERROR(VLOOKUP(E62,'🌐 Network Points'!$B$8:$J$107,3,0),"")</f>
        <v/>
      </c>
      <c r="G62" s="57">
        <f>IFERROR(VLOOKUP(E62,'🌐 Network Points'!$B$8:$J$107,5,0),"")</f>
        <v/>
      </c>
      <c r="H62" s="19" t="n"/>
      <c r="I62" s="19" t="n"/>
      <c r="J62" s="19" t="n"/>
      <c r="K62" s="19" t="n"/>
      <c r="L62" s="19" t="n"/>
      <c r="M62" s="19" t="n"/>
      <c r="N62" s="19" t="n"/>
      <c r="O62" s="58" t="n"/>
      <c r="P62" s="19" t="n"/>
      <c r="Q62" s="19" t="n"/>
      <c r="R62" s="59" t="n"/>
      <c r="S62" s="19" t="n"/>
    </row>
    <row r="63" ht="38" customHeight="1">
      <c r="A63" s="52" t="n">
        <v>55</v>
      </c>
      <c r="B63" s="12" t="n"/>
      <c r="C63" s="12" t="n"/>
      <c r="D63" s="12" t="n"/>
      <c r="E63" s="12" t="n"/>
      <c r="F63" s="53">
        <f>IFERROR(VLOOKUP(E63,'🌐 Network Points'!$B$8:$J$107,3,0),"")</f>
        <v/>
      </c>
      <c r="G63" s="53">
        <f>IFERROR(VLOOKUP(E63,'🌐 Network Points'!$B$8:$J$107,5,0),"")</f>
        <v/>
      </c>
      <c r="H63" s="12" t="n"/>
      <c r="I63" s="12" t="n"/>
      <c r="J63" s="12" t="n"/>
      <c r="K63" s="12" t="n"/>
      <c r="L63" s="12" t="n"/>
      <c r="M63" s="12" t="n"/>
      <c r="N63" s="12" t="n"/>
      <c r="O63" s="54" t="n"/>
      <c r="P63" s="12" t="n"/>
      <c r="Q63" s="12" t="n"/>
      <c r="R63" s="55" t="n"/>
      <c r="S63" s="12" t="n"/>
    </row>
    <row r="64" ht="38" customHeight="1">
      <c r="A64" s="56" t="n">
        <v>56</v>
      </c>
      <c r="B64" s="19" t="n"/>
      <c r="C64" s="19" t="n"/>
      <c r="D64" s="19" t="n"/>
      <c r="E64" s="19" t="n"/>
      <c r="F64" s="57">
        <f>IFERROR(VLOOKUP(E64,'🌐 Network Points'!$B$8:$J$107,3,0),"")</f>
        <v/>
      </c>
      <c r="G64" s="57">
        <f>IFERROR(VLOOKUP(E64,'🌐 Network Points'!$B$8:$J$107,5,0),"")</f>
        <v/>
      </c>
      <c r="H64" s="19" t="n"/>
      <c r="I64" s="19" t="n"/>
      <c r="J64" s="19" t="n"/>
      <c r="K64" s="19" t="n"/>
      <c r="L64" s="19" t="n"/>
      <c r="M64" s="19" t="n"/>
      <c r="N64" s="19" t="n"/>
      <c r="O64" s="58" t="n"/>
      <c r="P64" s="19" t="n"/>
      <c r="Q64" s="19" t="n"/>
      <c r="R64" s="59" t="n"/>
      <c r="S64" s="19" t="n"/>
    </row>
    <row r="65" ht="38" customHeight="1">
      <c r="A65" s="52" t="n">
        <v>57</v>
      </c>
      <c r="B65" s="12" t="n"/>
      <c r="C65" s="12" t="n"/>
      <c r="D65" s="12" t="n"/>
      <c r="E65" s="12" t="n"/>
      <c r="F65" s="53">
        <f>IFERROR(VLOOKUP(E65,'🌐 Network Points'!$B$8:$J$107,3,0),"")</f>
        <v/>
      </c>
      <c r="G65" s="53">
        <f>IFERROR(VLOOKUP(E65,'🌐 Network Points'!$B$8:$J$107,5,0),"")</f>
        <v/>
      </c>
      <c r="H65" s="12" t="n"/>
      <c r="I65" s="12" t="n"/>
      <c r="J65" s="12" t="n"/>
      <c r="K65" s="12" t="n"/>
      <c r="L65" s="12" t="n"/>
      <c r="M65" s="12" t="n"/>
      <c r="N65" s="12" t="n"/>
      <c r="O65" s="54" t="n"/>
      <c r="P65" s="12" t="n"/>
      <c r="Q65" s="12" t="n"/>
      <c r="R65" s="55" t="n"/>
      <c r="S65" s="12" t="n"/>
    </row>
    <row r="66" ht="38" customHeight="1">
      <c r="A66" s="56" t="n">
        <v>58</v>
      </c>
      <c r="B66" s="19" t="n"/>
      <c r="C66" s="19" t="n"/>
      <c r="D66" s="19" t="n"/>
      <c r="E66" s="19" t="n"/>
      <c r="F66" s="57">
        <f>IFERROR(VLOOKUP(E66,'🌐 Network Points'!$B$8:$J$107,3,0),"")</f>
        <v/>
      </c>
      <c r="G66" s="57">
        <f>IFERROR(VLOOKUP(E66,'🌐 Network Points'!$B$8:$J$107,5,0),"")</f>
        <v/>
      </c>
      <c r="H66" s="19" t="n"/>
      <c r="I66" s="19" t="n"/>
      <c r="J66" s="19" t="n"/>
      <c r="K66" s="19" t="n"/>
      <c r="L66" s="19" t="n"/>
      <c r="M66" s="19" t="n"/>
      <c r="N66" s="19" t="n"/>
      <c r="O66" s="58" t="n"/>
      <c r="P66" s="19" t="n"/>
      <c r="Q66" s="19" t="n"/>
      <c r="R66" s="59" t="n"/>
      <c r="S66" s="19" t="n"/>
    </row>
    <row r="67" ht="38" customHeight="1">
      <c r="A67" s="52" t="n">
        <v>59</v>
      </c>
      <c r="B67" s="12" t="n"/>
      <c r="C67" s="12" t="n"/>
      <c r="D67" s="12" t="n"/>
      <c r="E67" s="12" t="n"/>
      <c r="F67" s="53">
        <f>IFERROR(VLOOKUP(E67,'🌐 Network Points'!$B$8:$J$107,3,0),"")</f>
        <v/>
      </c>
      <c r="G67" s="53">
        <f>IFERROR(VLOOKUP(E67,'🌐 Network Points'!$B$8:$J$107,5,0),"")</f>
        <v/>
      </c>
      <c r="H67" s="12" t="n"/>
      <c r="I67" s="12" t="n"/>
      <c r="J67" s="12" t="n"/>
      <c r="K67" s="12" t="n"/>
      <c r="L67" s="12" t="n"/>
      <c r="M67" s="12" t="n"/>
      <c r="N67" s="12" t="n"/>
      <c r="O67" s="54" t="n"/>
      <c r="P67" s="12" t="n"/>
      <c r="Q67" s="12" t="n"/>
      <c r="R67" s="55" t="n"/>
      <c r="S67" s="12" t="n"/>
    </row>
    <row r="68" ht="38" customHeight="1">
      <c r="A68" s="56" t="n">
        <v>60</v>
      </c>
      <c r="B68" s="19" t="n"/>
      <c r="C68" s="19" t="n"/>
      <c r="D68" s="19" t="n"/>
      <c r="E68" s="19" t="n"/>
      <c r="F68" s="57">
        <f>IFERROR(VLOOKUP(E68,'🌐 Network Points'!$B$8:$J$107,3,0),"")</f>
        <v/>
      </c>
      <c r="G68" s="57">
        <f>IFERROR(VLOOKUP(E68,'🌐 Network Points'!$B$8:$J$107,5,0),"")</f>
        <v/>
      </c>
      <c r="H68" s="19" t="n"/>
      <c r="I68" s="19" t="n"/>
      <c r="J68" s="19" t="n"/>
      <c r="K68" s="19" t="n"/>
      <c r="L68" s="19" t="n"/>
      <c r="M68" s="19" t="n"/>
      <c r="N68" s="19" t="n"/>
      <c r="O68" s="58" t="n"/>
      <c r="P68" s="19" t="n"/>
      <c r="Q68" s="19" t="n"/>
      <c r="R68" s="59" t="n"/>
      <c r="S68" s="19" t="n"/>
    </row>
    <row r="69" ht="38" customHeight="1">
      <c r="A69" s="52" t="n">
        <v>61</v>
      </c>
      <c r="B69" s="12" t="n"/>
      <c r="C69" s="12" t="n"/>
      <c r="D69" s="12" t="n"/>
      <c r="E69" s="12" t="n"/>
      <c r="F69" s="53">
        <f>IFERROR(VLOOKUP(E69,'🌐 Network Points'!$B$8:$J$107,3,0),"")</f>
        <v/>
      </c>
      <c r="G69" s="53">
        <f>IFERROR(VLOOKUP(E69,'🌐 Network Points'!$B$8:$J$107,5,0),"")</f>
        <v/>
      </c>
      <c r="H69" s="12" t="n"/>
      <c r="I69" s="12" t="n"/>
      <c r="J69" s="12" t="n"/>
      <c r="K69" s="12" t="n"/>
      <c r="L69" s="12" t="n"/>
      <c r="M69" s="12" t="n"/>
      <c r="N69" s="12" t="n"/>
      <c r="O69" s="54" t="n"/>
      <c r="P69" s="12" t="n"/>
      <c r="Q69" s="12" t="n"/>
      <c r="R69" s="55" t="n"/>
      <c r="S69" s="12" t="n"/>
    </row>
    <row r="70" ht="38" customHeight="1">
      <c r="A70" s="56" t="n">
        <v>62</v>
      </c>
      <c r="B70" s="19" t="n"/>
      <c r="C70" s="19" t="n"/>
      <c r="D70" s="19" t="n"/>
      <c r="E70" s="19" t="n"/>
      <c r="F70" s="57">
        <f>IFERROR(VLOOKUP(E70,'🌐 Network Points'!$B$8:$J$107,3,0),"")</f>
        <v/>
      </c>
      <c r="G70" s="57">
        <f>IFERROR(VLOOKUP(E70,'🌐 Network Points'!$B$8:$J$107,5,0),"")</f>
        <v/>
      </c>
      <c r="H70" s="19" t="n"/>
      <c r="I70" s="19" t="n"/>
      <c r="J70" s="19" t="n"/>
      <c r="K70" s="19" t="n"/>
      <c r="L70" s="19" t="n"/>
      <c r="M70" s="19" t="n"/>
      <c r="N70" s="19" t="n"/>
      <c r="O70" s="58" t="n"/>
      <c r="P70" s="19" t="n"/>
      <c r="Q70" s="19" t="n"/>
      <c r="R70" s="59" t="n"/>
      <c r="S70" s="19" t="n"/>
    </row>
    <row r="71" ht="38" customHeight="1">
      <c r="A71" s="52" t="n">
        <v>63</v>
      </c>
      <c r="B71" s="12" t="n"/>
      <c r="C71" s="12" t="n"/>
      <c r="D71" s="12" t="n"/>
      <c r="E71" s="12" t="n"/>
      <c r="F71" s="53">
        <f>IFERROR(VLOOKUP(E71,'🌐 Network Points'!$B$8:$J$107,3,0),"")</f>
        <v/>
      </c>
      <c r="G71" s="53">
        <f>IFERROR(VLOOKUP(E71,'🌐 Network Points'!$B$8:$J$107,5,0),"")</f>
        <v/>
      </c>
      <c r="H71" s="12" t="n"/>
      <c r="I71" s="12" t="n"/>
      <c r="J71" s="12" t="n"/>
      <c r="K71" s="12" t="n"/>
      <c r="L71" s="12" t="n"/>
      <c r="M71" s="12" t="n"/>
      <c r="N71" s="12" t="n"/>
      <c r="O71" s="54" t="n"/>
      <c r="P71" s="12" t="n"/>
      <c r="Q71" s="12" t="n"/>
      <c r="R71" s="55" t="n"/>
      <c r="S71" s="12" t="n"/>
    </row>
    <row r="72" ht="38" customHeight="1">
      <c r="A72" s="56" t="n">
        <v>64</v>
      </c>
      <c r="B72" s="19" t="n"/>
      <c r="C72" s="19" t="n"/>
      <c r="D72" s="19" t="n"/>
      <c r="E72" s="19" t="n"/>
      <c r="F72" s="57">
        <f>IFERROR(VLOOKUP(E72,'🌐 Network Points'!$B$8:$J$107,3,0),"")</f>
        <v/>
      </c>
      <c r="G72" s="57">
        <f>IFERROR(VLOOKUP(E72,'🌐 Network Points'!$B$8:$J$107,5,0),"")</f>
        <v/>
      </c>
      <c r="H72" s="19" t="n"/>
      <c r="I72" s="19" t="n"/>
      <c r="J72" s="19" t="n"/>
      <c r="K72" s="19" t="n"/>
      <c r="L72" s="19" t="n"/>
      <c r="M72" s="19" t="n"/>
      <c r="N72" s="19" t="n"/>
      <c r="O72" s="58" t="n"/>
      <c r="P72" s="19" t="n"/>
      <c r="Q72" s="19" t="n"/>
      <c r="R72" s="59" t="n"/>
      <c r="S72" s="19" t="n"/>
    </row>
    <row r="73" ht="38" customHeight="1">
      <c r="A73" s="52" t="n">
        <v>65</v>
      </c>
      <c r="B73" s="12" t="n"/>
      <c r="C73" s="12" t="n"/>
      <c r="D73" s="12" t="n"/>
      <c r="E73" s="12" t="n"/>
      <c r="F73" s="53">
        <f>IFERROR(VLOOKUP(E73,'🌐 Network Points'!$B$8:$J$107,3,0),"")</f>
        <v/>
      </c>
      <c r="G73" s="53">
        <f>IFERROR(VLOOKUP(E73,'🌐 Network Points'!$B$8:$J$107,5,0),"")</f>
        <v/>
      </c>
      <c r="H73" s="12" t="n"/>
      <c r="I73" s="12" t="n"/>
      <c r="J73" s="12" t="n"/>
      <c r="K73" s="12" t="n"/>
      <c r="L73" s="12" t="n"/>
      <c r="M73" s="12" t="n"/>
      <c r="N73" s="12" t="n"/>
      <c r="O73" s="54" t="n"/>
      <c r="P73" s="12" t="n"/>
      <c r="Q73" s="12" t="n"/>
      <c r="R73" s="55" t="n"/>
      <c r="S73" s="12" t="n"/>
    </row>
    <row r="74" ht="38" customHeight="1">
      <c r="A74" s="56" t="n">
        <v>66</v>
      </c>
      <c r="B74" s="19" t="n"/>
      <c r="C74" s="19" t="n"/>
      <c r="D74" s="19" t="n"/>
      <c r="E74" s="19" t="n"/>
      <c r="F74" s="57">
        <f>IFERROR(VLOOKUP(E74,'🌐 Network Points'!$B$8:$J$107,3,0),"")</f>
        <v/>
      </c>
      <c r="G74" s="57">
        <f>IFERROR(VLOOKUP(E74,'🌐 Network Points'!$B$8:$J$107,5,0),"")</f>
        <v/>
      </c>
      <c r="H74" s="19" t="n"/>
      <c r="I74" s="19" t="n"/>
      <c r="J74" s="19" t="n"/>
      <c r="K74" s="19" t="n"/>
      <c r="L74" s="19" t="n"/>
      <c r="M74" s="19" t="n"/>
      <c r="N74" s="19" t="n"/>
      <c r="O74" s="58" t="n"/>
      <c r="P74" s="19" t="n"/>
      <c r="Q74" s="19" t="n"/>
      <c r="R74" s="59" t="n"/>
      <c r="S74" s="19" t="n"/>
    </row>
    <row r="75" ht="38" customHeight="1">
      <c r="A75" s="52" t="n">
        <v>67</v>
      </c>
      <c r="B75" s="12" t="n"/>
      <c r="C75" s="12" t="n"/>
      <c r="D75" s="12" t="n"/>
      <c r="E75" s="12" t="n"/>
      <c r="F75" s="53">
        <f>IFERROR(VLOOKUP(E75,'🌐 Network Points'!$B$8:$J$107,3,0),"")</f>
        <v/>
      </c>
      <c r="G75" s="53">
        <f>IFERROR(VLOOKUP(E75,'🌐 Network Points'!$B$8:$J$107,5,0),"")</f>
        <v/>
      </c>
      <c r="H75" s="12" t="n"/>
      <c r="I75" s="12" t="n"/>
      <c r="J75" s="12" t="n"/>
      <c r="K75" s="12" t="n"/>
      <c r="L75" s="12" t="n"/>
      <c r="M75" s="12" t="n"/>
      <c r="N75" s="12" t="n"/>
      <c r="O75" s="54" t="n"/>
      <c r="P75" s="12" t="n"/>
      <c r="Q75" s="12" t="n"/>
      <c r="R75" s="55" t="n"/>
      <c r="S75" s="12" t="n"/>
    </row>
    <row r="76" ht="38" customHeight="1">
      <c r="A76" s="56" t="n">
        <v>68</v>
      </c>
      <c r="B76" s="19" t="n"/>
      <c r="C76" s="19" t="n"/>
      <c r="D76" s="19" t="n"/>
      <c r="E76" s="19" t="n"/>
      <c r="F76" s="57">
        <f>IFERROR(VLOOKUP(E76,'🌐 Network Points'!$B$8:$J$107,3,0),"")</f>
        <v/>
      </c>
      <c r="G76" s="57">
        <f>IFERROR(VLOOKUP(E76,'🌐 Network Points'!$B$8:$J$107,5,0),"")</f>
        <v/>
      </c>
      <c r="H76" s="19" t="n"/>
      <c r="I76" s="19" t="n"/>
      <c r="J76" s="19" t="n"/>
      <c r="K76" s="19" t="n"/>
      <c r="L76" s="19" t="n"/>
      <c r="M76" s="19" t="n"/>
      <c r="N76" s="19" t="n"/>
      <c r="O76" s="58" t="n"/>
      <c r="P76" s="19" t="n"/>
      <c r="Q76" s="19" t="n"/>
      <c r="R76" s="59" t="n"/>
      <c r="S76" s="19" t="n"/>
    </row>
    <row r="77" ht="38" customHeight="1">
      <c r="A77" s="52" t="n">
        <v>69</v>
      </c>
      <c r="B77" s="12" t="n"/>
      <c r="C77" s="12" t="n"/>
      <c r="D77" s="12" t="n"/>
      <c r="E77" s="12" t="n"/>
      <c r="F77" s="53">
        <f>IFERROR(VLOOKUP(E77,'🌐 Network Points'!$B$8:$J$107,3,0),"")</f>
        <v/>
      </c>
      <c r="G77" s="53">
        <f>IFERROR(VLOOKUP(E77,'🌐 Network Points'!$B$8:$J$107,5,0),"")</f>
        <v/>
      </c>
      <c r="H77" s="12" t="n"/>
      <c r="I77" s="12" t="n"/>
      <c r="J77" s="12" t="n"/>
      <c r="K77" s="12" t="n"/>
      <c r="L77" s="12" t="n"/>
      <c r="M77" s="12" t="n"/>
      <c r="N77" s="12" t="n"/>
      <c r="O77" s="54" t="n"/>
      <c r="P77" s="12" t="n"/>
      <c r="Q77" s="12" t="n"/>
      <c r="R77" s="55" t="n"/>
      <c r="S77" s="12" t="n"/>
    </row>
    <row r="78" ht="38" customHeight="1">
      <c r="A78" s="56" t="n">
        <v>70</v>
      </c>
      <c r="B78" s="19" t="n"/>
      <c r="C78" s="19" t="n"/>
      <c r="D78" s="19" t="n"/>
      <c r="E78" s="19" t="n"/>
      <c r="F78" s="57">
        <f>IFERROR(VLOOKUP(E78,'🌐 Network Points'!$B$8:$J$107,3,0),"")</f>
        <v/>
      </c>
      <c r="G78" s="57">
        <f>IFERROR(VLOOKUP(E78,'🌐 Network Points'!$B$8:$J$107,5,0),"")</f>
        <v/>
      </c>
      <c r="H78" s="19" t="n"/>
      <c r="I78" s="19" t="n"/>
      <c r="J78" s="19" t="n"/>
      <c r="K78" s="19" t="n"/>
      <c r="L78" s="19" t="n"/>
      <c r="M78" s="19" t="n"/>
      <c r="N78" s="19" t="n"/>
      <c r="O78" s="58" t="n"/>
      <c r="P78" s="19" t="n"/>
      <c r="Q78" s="19" t="n"/>
      <c r="R78" s="59" t="n"/>
      <c r="S78" s="19" t="n"/>
    </row>
    <row r="79" ht="38" customHeight="1">
      <c r="A79" s="52" t="n">
        <v>71</v>
      </c>
      <c r="B79" s="12" t="n"/>
      <c r="C79" s="12" t="n"/>
      <c r="D79" s="12" t="n"/>
      <c r="E79" s="12" t="n"/>
      <c r="F79" s="53">
        <f>IFERROR(VLOOKUP(E79,'🌐 Network Points'!$B$8:$J$107,3,0),"")</f>
        <v/>
      </c>
      <c r="G79" s="53">
        <f>IFERROR(VLOOKUP(E79,'🌐 Network Points'!$B$8:$J$107,5,0),"")</f>
        <v/>
      </c>
      <c r="H79" s="12" t="n"/>
      <c r="I79" s="12" t="n"/>
      <c r="J79" s="12" t="n"/>
      <c r="K79" s="12" t="n"/>
      <c r="L79" s="12" t="n"/>
      <c r="M79" s="12" t="n"/>
      <c r="N79" s="12" t="n"/>
      <c r="O79" s="54" t="n"/>
      <c r="P79" s="12" t="n"/>
      <c r="Q79" s="12" t="n"/>
      <c r="R79" s="55" t="n"/>
      <c r="S79" s="12" t="n"/>
    </row>
    <row r="80" ht="38" customHeight="1">
      <c r="A80" s="56" t="n">
        <v>72</v>
      </c>
      <c r="B80" s="19" t="n"/>
      <c r="C80" s="19" t="n"/>
      <c r="D80" s="19" t="n"/>
      <c r="E80" s="19" t="n"/>
      <c r="F80" s="57">
        <f>IFERROR(VLOOKUP(E80,'🌐 Network Points'!$B$8:$J$107,3,0),"")</f>
        <v/>
      </c>
      <c r="G80" s="57">
        <f>IFERROR(VLOOKUP(E80,'🌐 Network Points'!$B$8:$J$107,5,0),"")</f>
        <v/>
      </c>
      <c r="H80" s="19" t="n"/>
      <c r="I80" s="19" t="n"/>
      <c r="J80" s="19" t="n"/>
      <c r="K80" s="19" t="n"/>
      <c r="L80" s="19" t="n"/>
      <c r="M80" s="19" t="n"/>
      <c r="N80" s="19" t="n"/>
      <c r="O80" s="58" t="n"/>
      <c r="P80" s="19" t="n"/>
      <c r="Q80" s="19" t="n"/>
      <c r="R80" s="59" t="n"/>
      <c r="S80" s="19" t="n"/>
    </row>
    <row r="81" ht="38" customHeight="1">
      <c r="A81" s="52" t="n">
        <v>73</v>
      </c>
      <c r="B81" s="12" t="n"/>
      <c r="C81" s="12" t="n"/>
      <c r="D81" s="12" t="n"/>
      <c r="E81" s="12" t="n"/>
      <c r="F81" s="53">
        <f>IFERROR(VLOOKUP(E81,'🌐 Network Points'!$B$8:$J$107,3,0),"")</f>
        <v/>
      </c>
      <c r="G81" s="53">
        <f>IFERROR(VLOOKUP(E81,'🌐 Network Points'!$B$8:$J$107,5,0),"")</f>
        <v/>
      </c>
      <c r="H81" s="12" t="n"/>
      <c r="I81" s="12" t="n"/>
      <c r="J81" s="12" t="n"/>
      <c r="K81" s="12" t="n"/>
      <c r="L81" s="12" t="n"/>
      <c r="M81" s="12" t="n"/>
      <c r="N81" s="12" t="n"/>
      <c r="O81" s="54" t="n"/>
      <c r="P81" s="12" t="n"/>
      <c r="Q81" s="12" t="n"/>
      <c r="R81" s="55" t="n"/>
      <c r="S81" s="12" t="n"/>
    </row>
    <row r="82" ht="38" customHeight="1">
      <c r="A82" s="56" t="n">
        <v>74</v>
      </c>
      <c r="B82" s="19" t="n"/>
      <c r="C82" s="19" t="n"/>
      <c r="D82" s="19" t="n"/>
      <c r="E82" s="19" t="n"/>
      <c r="F82" s="57">
        <f>IFERROR(VLOOKUP(E82,'🌐 Network Points'!$B$8:$J$107,3,0),"")</f>
        <v/>
      </c>
      <c r="G82" s="57">
        <f>IFERROR(VLOOKUP(E82,'🌐 Network Points'!$B$8:$J$107,5,0),"")</f>
        <v/>
      </c>
      <c r="H82" s="19" t="n"/>
      <c r="I82" s="19" t="n"/>
      <c r="J82" s="19" t="n"/>
      <c r="K82" s="19" t="n"/>
      <c r="L82" s="19" t="n"/>
      <c r="M82" s="19" t="n"/>
      <c r="N82" s="19" t="n"/>
      <c r="O82" s="58" t="n"/>
      <c r="P82" s="19" t="n"/>
      <c r="Q82" s="19" t="n"/>
      <c r="R82" s="59" t="n"/>
      <c r="S82" s="19" t="n"/>
    </row>
    <row r="83" ht="38" customHeight="1">
      <c r="A83" s="52" t="n">
        <v>75</v>
      </c>
      <c r="B83" s="12" t="n"/>
      <c r="C83" s="12" t="n"/>
      <c r="D83" s="12" t="n"/>
      <c r="E83" s="12" t="n"/>
      <c r="F83" s="53">
        <f>IFERROR(VLOOKUP(E83,'🌐 Network Points'!$B$8:$J$107,3,0),"")</f>
        <v/>
      </c>
      <c r="G83" s="53">
        <f>IFERROR(VLOOKUP(E83,'🌐 Network Points'!$B$8:$J$107,5,0),"")</f>
        <v/>
      </c>
      <c r="H83" s="12" t="n"/>
      <c r="I83" s="12" t="n"/>
      <c r="J83" s="12" t="n"/>
      <c r="K83" s="12" t="n"/>
      <c r="L83" s="12" t="n"/>
      <c r="M83" s="12" t="n"/>
      <c r="N83" s="12" t="n"/>
      <c r="O83" s="54" t="n"/>
      <c r="P83" s="12" t="n"/>
      <c r="Q83" s="12" t="n"/>
      <c r="R83" s="55" t="n"/>
      <c r="S83" s="12" t="n"/>
    </row>
    <row r="84" ht="38" customHeight="1">
      <c r="A84" s="56" t="n">
        <v>76</v>
      </c>
      <c r="B84" s="19" t="n"/>
      <c r="C84" s="19" t="n"/>
      <c r="D84" s="19" t="n"/>
      <c r="E84" s="19" t="n"/>
      <c r="F84" s="57">
        <f>IFERROR(VLOOKUP(E84,'🌐 Network Points'!$B$8:$J$107,3,0),"")</f>
        <v/>
      </c>
      <c r="G84" s="57">
        <f>IFERROR(VLOOKUP(E84,'🌐 Network Points'!$B$8:$J$107,5,0),"")</f>
        <v/>
      </c>
      <c r="H84" s="19" t="n"/>
      <c r="I84" s="19" t="n"/>
      <c r="J84" s="19" t="n"/>
      <c r="K84" s="19" t="n"/>
      <c r="L84" s="19" t="n"/>
      <c r="M84" s="19" t="n"/>
      <c r="N84" s="19" t="n"/>
      <c r="O84" s="58" t="n"/>
      <c r="P84" s="19" t="n"/>
      <c r="Q84" s="19" t="n"/>
      <c r="R84" s="59" t="n"/>
      <c r="S84" s="19" t="n"/>
    </row>
    <row r="85" ht="38" customHeight="1">
      <c r="A85" s="52" t="n">
        <v>77</v>
      </c>
      <c r="B85" s="12" t="n"/>
      <c r="C85" s="12" t="n"/>
      <c r="D85" s="12" t="n"/>
      <c r="E85" s="12" t="n"/>
      <c r="F85" s="53">
        <f>IFERROR(VLOOKUP(E85,'🌐 Network Points'!$B$8:$J$107,3,0),"")</f>
        <v/>
      </c>
      <c r="G85" s="53">
        <f>IFERROR(VLOOKUP(E85,'🌐 Network Points'!$B$8:$J$107,5,0),"")</f>
        <v/>
      </c>
      <c r="H85" s="12" t="n"/>
      <c r="I85" s="12" t="n"/>
      <c r="J85" s="12" t="n"/>
      <c r="K85" s="12" t="n"/>
      <c r="L85" s="12" t="n"/>
      <c r="M85" s="12" t="n"/>
      <c r="N85" s="12" t="n"/>
      <c r="O85" s="54" t="n"/>
      <c r="P85" s="12" t="n"/>
      <c r="Q85" s="12" t="n"/>
      <c r="R85" s="55" t="n"/>
      <c r="S85" s="12" t="n"/>
    </row>
    <row r="86" ht="38" customHeight="1">
      <c r="A86" s="56" t="n">
        <v>78</v>
      </c>
      <c r="B86" s="19" t="n"/>
      <c r="C86" s="19" t="n"/>
      <c r="D86" s="19" t="n"/>
      <c r="E86" s="19" t="n"/>
      <c r="F86" s="57">
        <f>IFERROR(VLOOKUP(E86,'🌐 Network Points'!$B$8:$J$107,3,0),"")</f>
        <v/>
      </c>
      <c r="G86" s="57">
        <f>IFERROR(VLOOKUP(E86,'🌐 Network Points'!$B$8:$J$107,5,0),"")</f>
        <v/>
      </c>
      <c r="H86" s="19" t="n"/>
      <c r="I86" s="19" t="n"/>
      <c r="J86" s="19" t="n"/>
      <c r="K86" s="19" t="n"/>
      <c r="L86" s="19" t="n"/>
      <c r="M86" s="19" t="n"/>
      <c r="N86" s="19" t="n"/>
      <c r="O86" s="58" t="n"/>
      <c r="P86" s="19" t="n"/>
      <c r="Q86" s="19" t="n"/>
      <c r="R86" s="59" t="n"/>
      <c r="S86" s="19" t="n"/>
    </row>
    <row r="87" ht="38" customHeight="1">
      <c r="A87" s="52" t="n">
        <v>79</v>
      </c>
      <c r="B87" s="12" t="n"/>
      <c r="C87" s="12" t="n"/>
      <c r="D87" s="12" t="n"/>
      <c r="E87" s="12" t="n"/>
      <c r="F87" s="53">
        <f>IFERROR(VLOOKUP(E87,'🌐 Network Points'!$B$8:$J$107,3,0),"")</f>
        <v/>
      </c>
      <c r="G87" s="53">
        <f>IFERROR(VLOOKUP(E87,'🌐 Network Points'!$B$8:$J$107,5,0),"")</f>
        <v/>
      </c>
      <c r="H87" s="12" t="n"/>
      <c r="I87" s="12" t="n"/>
      <c r="J87" s="12" t="n"/>
      <c r="K87" s="12" t="n"/>
      <c r="L87" s="12" t="n"/>
      <c r="M87" s="12" t="n"/>
      <c r="N87" s="12" t="n"/>
      <c r="O87" s="54" t="n"/>
      <c r="P87" s="12" t="n"/>
      <c r="Q87" s="12" t="n"/>
      <c r="R87" s="55" t="n"/>
      <c r="S87" s="12" t="n"/>
    </row>
    <row r="88" ht="38" customHeight="1">
      <c r="A88" s="56" t="n">
        <v>80</v>
      </c>
      <c r="B88" s="19" t="n"/>
      <c r="C88" s="19" t="n"/>
      <c r="D88" s="19" t="n"/>
      <c r="E88" s="19" t="n"/>
      <c r="F88" s="57">
        <f>IFERROR(VLOOKUP(E88,'🌐 Network Points'!$B$8:$J$107,3,0),"")</f>
        <v/>
      </c>
      <c r="G88" s="57">
        <f>IFERROR(VLOOKUP(E88,'🌐 Network Points'!$B$8:$J$107,5,0),"")</f>
        <v/>
      </c>
      <c r="H88" s="19" t="n"/>
      <c r="I88" s="19" t="n"/>
      <c r="J88" s="19" t="n"/>
      <c r="K88" s="19" t="n"/>
      <c r="L88" s="19" t="n"/>
      <c r="M88" s="19" t="n"/>
      <c r="N88" s="19" t="n"/>
      <c r="O88" s="58" t="n"/>
      <c r="P88" s="19" t="n"/>
      <c r="Q88" s="19" t="n"/>
      <c r="R88" s="59" t="n"/>
      <c r="S88" s="19" t="n"/>
    </row>
    <row r="89" ht="38" customHeight="1">
      <c r="A89" s="52" t="n">
        <v>81</v>
      </c>
      <c r="B89" s="12" t="n"/>
      <c r="C89" s="12" t="n"/>
      <c r="D89" s="12" t="n"/>
      <c r="E89" s="12" t="n"/>
      <c r="F89" s="53">
        <f>IFERROR(VLOOKUP(E89,'🌐 Network Points'!$B$8:$J$107,3,0),"")</f>
        <v/>
      </c>
      <c r="G89" s="53">
        <f>IFERROR(VLOOKUP(E89,'🌐 Network Points'!$B$8:$J$107,5,0),"")</f>
        <v/>
      </c>
      <c r="H89" s="12" t="n"/>
      <c r="I89" s="12" t="n"/>
      <c r="J89" s="12" t="n"/>
      <c r="K89" s="12" t="n"/>
      <c r="L89" s="12" t="n"/>
      <c r="M89" s="12" t="n"/>
      <c r="N89" s="12" t="n"/>
      <c r="O89" s="54" t="n"/>
      <c r="P89" s="12" t="n"/>
      <c r="Q89" s="12" t="n"/>
      <c r="R89" s="55" t="n"/>
      <c r="S89" s="12" t="n"/>
    </row>
    <row r="90" ht="38" customHeight="1">
      <c r="A90" s="56" t="n">
        <v>82</v>
      </c>
      <c r="B90" s="19" t="n"/>
      <c r="C90" s="19" t="n"/>
      <c r="D90" s="19" t="n"/>
      <c r="E90" s="19" t="n"/>
      <c r="F90" s="57">
        <f>IFERROR(VLOOKUP(E90,'🌐 Network Points'!$B$8:$J$107,3,0),"")</f>
        <v/>
      </c>
      <c r="G90" s="57">
        <f>IFERROR(VLOOKUP(E90,'🌐 Network Points'!$B$8:$J$107,5,0),"")</f>
        <v/>
      </c>
      <c r="H90" s="19" t="n"/>
      <c r="I90" s="19" t="n"/>
      <c r="J90" s="19" t="n"/>
      <c r="K90" s="19" t="n"/>
      <c r="L90" s="19" t="n"/>
      <c r="M90" s="19" t="n"/>
      <c r="N90" s="19" t="n"/>
      <c r="O90" s="58" t="n"/>
      <c r="P90" s="19" t="n"/>
      <c r="Q90" s="19" t="n"/>
      <c r="R90" s="59" t="n"/>
      <c r="S90" s="19" t="n"/>
    </row>
    <row r="91" ht="38" customHeight="1">
      <c r="A91" s="52" t="n">
        <v>83</v>
      </c>
      <c r="B91" s="12" t="n"/>
      <c r="C91" s="12" t="n"/>
      <c r="D91" s="12" t="n"/>
      <c r="E91" s="12" t="n"/>
      <c r="F91" s="53">
        <f>IFERROR(VLOOKUP(E91,'🌐 Network Points'!$B$8:$J$107,3,0),"")</f>
        <v/>
      </c>
      <c r="G91" s="53">
        <f>IFERROR(VLOOKUP(E91,'🌐 Network Points'!$B$8:$J$107,5,0),"")</f>
        <v/>
      </c>
      <c r="H91" s="12" t="n"/>
      <c r="I91" s="12" t="n"/>
      <c r="J91" s="12" t="n"/>
      <c r="K91" s="12" t="n"/>
      <c r="L91" s="12" t="n"/>
      <c r="M91" s="12" t="n"/>
      <c r="N91" s="12" t="n"/>
      <c r="O91" s="54" t="n"/>
      <c r="P91" s="12" t="n"/>
      <c r="Q91" s="12" t="n"/>
      <c r="R91" s="55" t="n"/>
      <c r="S91" s="12" t="n"/>
    </row>
    <row r="92" ht="38" customHeight="1">
      <c r="A92" s="56" t="n">
        <v>84</v>
      </c>
      <c r="B92" s="19" t="n"/>
      <c r="C92" s="19" t="n"/>
      <c r="D92" s="19" t="n"/>
      <c r="E92" s="19" t="n"/>
      <c r="F92" s="57">
        <f>IFERROR(VLOOKUP(E92,'🌐 Network Points'!$B$8:$J$107,3,0),"")</f>
        <v/>
      </c>
      <c r="G92" s="57">
        <f>IFERROR(VLOOKUP(E92,'🌐 Network Points'!$B$8:$J$107,5,0),"")</f>
        <v/>
      </c>
      <c r="H92" s="19" t="n"/>
      <c r="I92" s="19" t="n"/>
      <c r="J92" s="19" t="n"/>
      <c r="K92" s="19" t="n"/>
      <c r="L92" s="19" t="n"/>
      <c r="M92" s="19" t="n"/>
      <c r="N92" s="19" t="n"/>
      <c r="O92" s="58" t="n"/>
      <c r="P92" s="19" t="n"/>
      <c r="Q92" s="19" t="n"/>
      <c r="R92" s="59" t="n"/>
      <c r="S92" s="19" t="n"/>
    </row>
    <row r="93" ht="38" customHeight="1">
      <c r="A93" s="52" t="n">
        <v>85</v>
      </c>
      <c r="B93" s="12" t="n"/>
      <c r="C93" s="12" t="n"/>
      <c r="D93" s="12" t="n"/>
      <c r="E93" s="12" t="n"/>
      <c r="F93" s="53">
        <f>IFERROR(VLOOKUP(E93,'🌐 Network Points'!$B$8:$J$107,3,0),"")</f>
        <v/>
      </c>
      <c r="G93" s="53">
        <f>IFERROR(VLOOKUP(E93,'🌐 Network Points'!$B$8:$J$107,5,0),"")</f>
        <v/>
      </c>
      <c r="H93" s="12" t="n"/>
      <c r="I93" s="12" t="n"/>
      <c r="J93" s="12" t="n"/>
      <c r="K93" s="12" t="n"/>
      <c r="L93" s="12" t="n"/>
      <c r="M93" s="12" t="n"/>
      <c r="N93" s="12" t="n"/>
      <c r="O93" s="54" t="n"/>
      <c r="P93" s="12" t="n"/>
      <c r="Q93" s="12" t="n"/>
      <c r="R93" s="55" t="n"/>
      <c r="S93" s="12" t="n"/>
    </row>
    <row r="94" ht="38" customHeight="1">
      <c r="A94" s="56" t="n">
        <v>86</v>
      </c>
      <c r="B94" s="19" t="n"/>
      <c r="C94" s="19" t="n"/>
      <c r="D94" s="19" t="n"/>
      <c r="E94" s="19" t="n"/>
      <c r="F94" s="57">
        <f>IFERROR(VLOOKUP(E94,'🌐 Network Points'!$B$8:$J$107,3,0),"")</f>
        <v/>
      </c>
      <c r="G94" s="57">
        <f>IFERROR(VLOOKUP(E94,'🌐 Network Points'!$B$8:$J$107,5,0),"")</f>
        <v/>
      </c>
      <c r="H94" s="19" t="n"/>
      <c r="I94" s="19" t="n"/>
      <c r="J94" s="19" t="n"/>
      <c r="K94" s="19" t="n"/>
      <c r="L94" s="19" t="n"/>
      <c r="M94" s="19" t="n"/>
      <c r="N94" s="19" t="n"/>
      <c r="O94" s="58" t="n"/>
      <c r="P94" s="19" t="n"/>
      <c r="Q94" s="19" t="n"/>
      <c r="R94" s="59" t="n"/>
      <c r="S94" s="19" t="n"/>
    </row>
    <row r="95" ht="38" customHeight="1">
      <c r="A95" s="52" t="n">
        <v>87</v>
      </c>
      <c r="B95" s="12" t="n"/>
      <c r="C95" s="12" t="n"/>
      <c r="D95" s="12" t="n"/>
      <c r="E95" s="12" t="n"/>
      <c r="F95" s="53">
        <f>IFERROR(VLOOKUP(E95,'🌐 Network Points'!$B$8:$J$107,3,0),"")</f>
        <v/>
      </c>
      <c r="G95" s="53">
        <f>IFERROR(VLOOKUP(E95,'🌐 Network Points'!$B$8:$J$107,5,0),"")</f>
        <v/>
      </c>
      <c r="H95" s="12" t="n"/>
      <c r="I95" s="12" t="n"/>
      <c r="J95" s="12" t="n"/>
      <c r="K95" s="12" t="n"/>
      <c r="L95" s="12" t="n"/>
      <c r="M95" s="12" t="n"/>
      <c r="N95" s="12" t="n"/>
      <c r="O95" s="54" t="n"/>
      <c r="P95" s="12" t="n"/>
      <c r="Q95" s="12" t="n"/>
      <c r="R95" s="55" t="n"/>
      <c r="S95" s="12" t="n"/>
    </row>
    <row r="96" ht="38" customHeight="1">
      <c r="A96" s="56" t="n">
        <v>88</v>
      </c>
      <c r="B96" s="19" t="n"/>
      <c r="C96" s="19" t="n"/>
      <c r="D96" s="19" t="n"/>
      <c r="E96" s="19" t="n"/>
      <c r="F96" s="57">
        <f>IFERROR(VLOOKUP(E96,'🌐 Network Points'!$B$8:$J$107,3,0),"")</f>
        <v/>
      </c>
      <c r="G96" s="57">
        <f>IFERROR(VLOOKUP(E96,'🌐 Network Points'!$B$8:$J$107,5,0),"")</f>
        <v/>
      </c>
      <c r="H96" s="19" t="n"/>
      <c r="I96" s="19" t="n"/>
      <c r="J96" s="19" t="n"/>
      <c r="K96" s="19" t="n"/>
      <c r="L96" s="19" t="n"/>
      <c r="M96" s="19" t="n"/>
      <c r="N96" s="19" t="n"/>
      <c r="O96" s="58" t="n"/>
      <c r="P96" s="19" t="n"/>
      <c r="Q96" s="19" t="n"/>
      <c r="R96" s="59" t="n"/>
      <c r="S96" s="19" t="n"/>
    </row>
    <row r="97" ht="38" customHeight="1">
      <c r="A97" s="52" t="n">
        <v>89</v>
      </c>
      <c r="B97" s="12" t="n"/>
      <c r="C97" s="12" t="n"/>
      <c r="D97" s="12" t="n"/>
      <c r="E97" s="12" t="n"/>
      <c r="F97" s="53">
        <f>IFERROR(VLOOKUP(E97,'🌐 Network Points'!$B$8:$J$107,3,0),"")</f>
        <v/>
      </c>
      <c r="G97" s="53">
        <f>IFERROR(VLOOKUP(E97,'🌐 Network Points'!$B$8:$J$107,5,0),"")</f>
        <v/>
      </c>
      <c r="H97" s="12" t="n"/>
      <c r="I97" s="12" t="n"/>
      <c r="J97" s="12" t="n"/>
      <c r="K97" s="12" t="n"/>
      <c r="L97" s="12" t="n"/>
      <c r="M97" s="12" t="n"/>
      <c r="N97" s="12" t="n"/>
      <c r="O97" s="54" t="n"/>
      <c r="P97" s="12" t="n"/>
      <c r="Q97" s="12" t="n"/>
      <c r="R97" s="55" t="n"/>
      <c r="S97" s="12" t="n"/>
    </row>
    <row r="98" ht="38" customHeight="1">
      <c r="A98" s="56" t="n">
        <v>90</v>
      </c>
      <c r="B98" s="19" t="n"/>
      <c r="C98" s="19" t="n"/>
      <c r="D98" s="19" t="n"/>
      <c r="E98" s="19" t="n"/>
      <c r="F98" s="57">
        <f>IFERROR(VLOOKUP(E98,'🌐 Network Points'!$B$8:$J$107,3,0),"")</f>
        <v/>
      </c>
      <c r="G98" s="57">
        <f>IFERROR(VLOOKUP(E98,'🌐 Network Points'!$B$8:$J$107,5,0),"")</f>
        <v/>
      </c>
      <c r="H98" s="19" t="n"/>
      <c r="I98" s="19" t="n"/>
      <c r="J98" s="19" t="n"/>
      <c r="K98" s="19" t="n"/>
      <c r="L98" s="19" t="n"/>
      <c r="M98" s="19" t="n"/>
      <c r="N98" s="19" t="n"/>
      <c r="O98" s="58" t="n"/>
      <c r="P98" s="19" t="n"/>
      <c r="Q98" s="19" t="n"/>
      <c r="R98" s="59" t="n"/>
      <c r="S98" s="19" t="n"/>
    </row>
    <row r="99" ht="38" customHeight="1">
      <c r="A99" s="52" t="n">
        <v>91</v>
      </c>
      <c r="B99" s="12" t="n"/>
      <c r="C99" s="12" t="n"/>
      <c r="D99" s="12" t="n"/>
      <c r="E99" s="12" t="n"/>
      <c r="F99" s="53">
        <f>IFERROR(VLOOKUP(E99,'🌐 Network Points'!$B$8:$J$107,3,0),"")</f>
        <v/>
      </c>
      <c r="G99" s="53">
        <f>IFERROR(VLOOKUP(E99,'🌐 Network Points'!$B$8:$J$107,5,0),"")</f>
        <v/>
      </c>
      <c r="H99" s="12" t="n"/>
      <c r="I99" s="12" t="n"/>
      <c r="J99" s="12" t="n"/>
      <c r="K99" s="12" t="n"/>
      <c r="L99" s="12" t="n"/>
      <c r="M99" s="12" t="n"/>
      <c r="N99" s="12" t="n"/>
      <c r="O99" s="54" t="n"/>
      <c r="P99" s="12" t="n"/>
      <c r="Q99" s="12" t="n"/>
      <c r="R99" s="55" t="n"/>
      <c r="S99" s="12" t="n"/>
    </row>
    <row r="100" ht="38" customHeight="1">
      <c r="A100" s="56" t="n">
        <v>92</v>
      </c>
      <c r="B100" s="19" t="n"/>
      <c r="C100" s="19" t="n"/>
      <c r="D100" s="19" t="n"/>
      <c r="E100" s="19" t="n"/>
      <c r="F100" s="57">
        <f>IFERROR(VLOOKUP(E100,'🌐 Network Points'!$B$8:$J$107,3,0),"")</f>
        <v/>
      </c>
      <c r="G100" s="57">
        <f>IFERROR(VLOOKUP(E100,'🌐 Network Points'!$B$8:$J$107,5,0),"")</f>
        <v/>
      </c>
      <c r="H100" s="19" t="n"/>
      <c r="I100" s="19" t="n"/>
      <c r="J100" s="19" t="n"/>
      <c r="K100" s="19" t="n"/>
      <c r="L100" s="19" t="n"/>
      <c r="M100" s="19" t="n"/>
      <c r="N100" s="19" t="n"/>
      <c r="O100" s="58" t="n"/>
      <c r="P100" s="19" t="n"/>
      <c r="Q100" s="19" t="n"/>
      <c r="R100" s="59" t="n"/>
      <c r="S100" s="19" t="n"/>
    </row>
    <row r="101" ht="38" customHeight="1">
      <c r="A101" s="52" t="n">
        <v>93</v>
      </c>
      <c r="B101" s="12" t="n"/>
      <c r="C101" s="12" t="n"/>
      <c r="D101" s="12" t="n"/>
      <c r="E101" s="12" t="n"/>
      <c r="F101" s="53">
        <f>IFERROR(VLOOKUP(E101,'🌐 Network Points'!$B$8:$J$107,3,0),"")</f>
        <v/>
      </c>
      <c r="G101" s="53">
        <f>IFERROR(VLOOKUP(E101,'🌐 Network Points'!$B$8:$J$107,5,0),"")</f>
        <v/>
      </c>
      <c r="H101" s="12" t="n"/>
      <c r="I101" s="12" t="n"/>
      <c r="J101" s="12" t="n"/>
      <c r="K101" s="12" t="n"/>
      <c r="L101" s="12" t="n"/>
      <c r="M101" s="12" t="n"/>
      <c r="N101" s="12" t="n"/>
      <c r="O101" s="54" t="n"/>
      <c r="P101" s="12" t="n"/>
      <c r="Q101" s="12" t="n"/>
      <c r="R101" s="55" t="n"/>
      <c r="S101" s="12" t="n"/>
    </row>
    <row r="102" ht="38" customHeight="1">
      <c r="A102" s="56" t="n">
        <v>94</v>
      </c>
      <c r="B102" s="19" t="n"/>
      <c r="C102" s="19" t="n"/>
      <c r="D102" s="19" t="n"/>
      <c r="E102" s="19" t="n"/>
      <c r="F102" s="57">
        <f>IFERROR(VLOOKUP(E102,'🌐 Network Points'!$B$8:$J$107,3,0),"")</f>
        <v/>
      </c>
      <c r="G102" s="57">
        <f>IFERROR(VLOOKUP(E102,'🌐 Network Points'!$B$8:$J$107,5,0),"")</f>
        <v/>
      </c>
      <c r="H102" s="19" t="n"/>
      <c r="I102" s="19" t="n"/>
      <c r="J102" s="19" t="n"/>
      <c r="K102" s="19" t="n"/>
      <c r="L102" s="19" t="n"/>
      <c r="M102" s="19" t="n"/>
      <c r="N102" s="19" t="n"/>
      <c r="O102" s="58" t="n"/>
      <c r="P102" s="19" t="n"/>
      <c r="Q102" s="19" t="n"/>
      <c r="R102" s="59" t="n"/>
      <c r="S102" s="19" t="n"/>
    </row>
    <row r="103" ht="38" customHeight="1">
      <c r="A103" s="52" t="n">
        <v>95</v>
      </c>
      <c r="B103" s="12" t="n"/>
      <c r="C103" s="12" t="n"/>
      <c r="D103" s="12" t="n"/>
      <c r="E103" s="12" t="n"/>
      <c r="F103" s="53">
        <f>IFERROR(VLOOKUP(E103,'🌐 Network Points'!$B$8:$J$107,3,0),"")</f>
        <v/>
      </c>
      <c r="G103" s="53">
        <f>IFERROR(VLOOKUP(E103,'🌐 Network Points'!$B$8:$J$107,5,0),"")</f>
        <v/>
      </c>
      <c r="H103" s="12" t="n"/>
      <c r="I103" s="12" t="n"/>
      <c r="J103" s="12" t="n"/>
      <c r="K103" s="12" t="n"/>
      <c r="L103" s="12" t="n"/>
      <c r="M103" s="12" t="n"/>
      <c r="N103" s="12" t="n"/>
      <c r="O103" s="54" t="n"/>
      <c r="P103" s="12" t="n"/>
      <c r="Q103" s="12" t="n"/>
      <c r="R103" s="55" t="n"/>
      <c r="S103" s="12" t="n"/>
    </row>
    <row r="104" ht="38" customHeight="1">
      <c r="A104" s="56" t="n">
        <v>96</v>
      </c>
      <c r="B104" s="19" t="n"/>
      <c r="C104" s="19" t="n"/>
      <c r="D104" s="19" t="n"/>
      <c r="E104" s="19" t="n"/>
      <c r="F104" s="57">
        <f>IFERROR(VLOOKUP(E104,'🌐 Network Points'!$B$8:$J$107,3,0),"")</f>
        <v/>
      </c>
      <c r="G104" s="57">
        <f>IFERROR(VLOOKUP(E104,'🌐 Network Points'!$B$8:$J$107,5,0),"")</f>
        <v/>
      </c>
      <c r="H104" s="19" t="n"/>
      <c r="I104" s="19" t="n"/>
      <c r="J104" s="19" t="n"/>
      <c r="K104" s="19" t="n"/>
      <c r="L104" s="19" t="n"/>
      <c r="M104" s="19" t="n"/>
      <c r="N104" s="19" t="n"/>
      <c r="O104" s="58" t="n"/>
      <c r="P104" s="19" t="n"/>
      <c r="Q104" s="19" t="n"/>
      <c r="R104" s="59" t="n"/>
      <c r="S104" s="19" t="n"/>
    </row>
    <row r="105" ht="38" customHeight="1">
      <c r="A105" s="52" t="n">
        <v>97</v>
      </c>
      <c r="B105" s="12" t="n"/>
      <c r="C105" s="12" t="n"/>
      <c r="D105" s="12" t="n"/>
      <c r="E105" s="12" t="n"/>
      <c r="F105" s="53">
        <f>IFERROR(VLOOKUP(E105,'🌐 Network Points'!$B$8:$J$107,3,0),"")</f>
        <v/>
      </c>
      <c r="G105" s="53">
        <f>IFERROR(VLOOKUP(E105,'🌐 Network Points'!$B$8:$J$107,5,0),"")</f>
        <v/>
      </c>
      <c r="H105" s="12" t="n"/>
      <c r="I105" s="12" t="n"/>
      <c r="J105" s="12" t="n"/>
      <c r="K105" s="12" t="n"/>
      <c r="L105" s="12" t="n"/>
      <c r="M105" s="12" t="n"/>
      <c r="N105" s="12" t="n"/>
      <c r="O105" s="54" t="n"/>
      <c r="P105" s="12" t="n"/>
      <c r="Q105" s="12" t="n"/>
      <c r="R105" s="55" t="n"/>
      <c r="S105" s="12" t="n"/>
    </row>
    <row r="106" ht="38" customHeight="1">
      <c r="A106" s="56" t="n">
        <v>98</v>
      </c>
      <c r="B106" s="19" t="n"/>
      <c r="C106" s="19" t="n"/>
      <c r="D106" s="19" t="n"/>
      <c r="E106" s="19" t="n"/>
      <c r="F106" s="57">
        <f>IFERROR(VLOOKUP(E106,'🌐 Network Points'!$B$8:$J$107,3,0),"")</f>
        <v/>
      </c>
      <c r="G106" s="57">
        <f>IFERROR(VLOOKUP(E106,'🌐 Network Points'!$B$8:$J$107,5,0),"")</f>
        <v/>
      </c>
      <c r="H106" s="19" t="n"/>
      <c r="I106" s="19" t="n"/>
      <c r="J106" s="19" t="n"/>
      <c r="K106" s="19" t="n"/>
      <c r="L106" s="19" t="n"/>
      <c r="M106" s="19" t="n"/>
      <c r="N106" s="19" t="n"/>
      <c r="O106" s="58" t="n"/>
      <c r="P106" s="19" t="n"/>
      <c r="Q106" s="19" t="n"/>
      <c r="R106" s="59" t="n"/>
      <c r="S106" s="19" t="n"/>
    </row>
    <row r="107" ht="38" customHeight="1">
      <c r="A107" s="52" t="n">
        <v>99</v>
      </c>
      <c r="B107" s="12" t="n"/>
      <c r="C107" s="12" t="n"/>
      <c r="D107" s="12" t="n"/>
      <c r="E107" s="12" t="n"/>
      <c r="F107" s="53">
        <f>IFERROR(VLOOKUP(E107,'🌐 Network Points'!$B$8:$J$107,3,0),"")</f>
        <v/>
      </c>
      <c r="G107" s="53">
        <f>IFERROR(VLOOKUP(E107,'🌐 Network Points'!$B$8:$J$107,5,0),"")</f>
        <v/>
      </c>
      <c r="H107" s="12" t="n"/>
      <c r="I107" s="12" t="n"/>
      <c r="J107" s="12" t="n"/>
      <c r="K107" s="12" t="n"/>
      <c r="L107" s="12" t="n"/>
      <c r="M107" s="12" t="n"/>
      <c r="N107" s="12" t="n"/>
      <c r="O107" s="54" t="n"/>
      <c r="P107" s="12" t="n"/>
      <c r="Q107" s="12" t="n"/>
      <c r="R107" s="55" t="n"/>
      <c r="S107" s="12" t="n"/>
    </row>
    <row r="108" ht="38" customHeight="1">
      <c r="A108" s="56" t="n">
        <v>100</v>
      </c>
      <c r="B108" s="19" t="n"/>
      <c r="C108" s="19" t="n"/>
      <c r="D108" s="19" t="n"/>
      <c r="E108" s="19" t="n"/>
      <c r="F108" s="57">
        <f>IFERROR(VLOOKUP(E108,'🌐 Network Points'!$B$8:$J$107,3,0),"")</f>
        <v/>
      </c>
      <c r="G108" s="57">
        <f>IFERROR(VLOOKUP(E108,'🌐 Network Points'!$B$8:$J$107,5,0),"")</f>
        <v/>
      </c>
      <c r="H108" s="19" t="n"/>
      <c r="I108" s="19" t="n"/>
      <c r="J108" s="19" t="n"/>
      <c r="K108" s="19" t="n"/>
      <c r="L108" s="19" t="n"/>
      <c r="M108" s="19" t="n"/>
      <c r="N108" s="19" t="n"/>
      <c r="O108" s="58" t="n"/>
      <c r="P108" s="19" t="n"/>
      <c r="Q108" s="19" t="n"/>
      <c r="R108" s="59" t="n"/>
      <c r="S108" s="19" t="n"/>
    </row>
    <row r="109" ht="22" customHeight="1">
      <c r="A109" s="11" t="inlineStr">
        <is>
          <t>TOTALS</t>
        </is>
      </c>
      <c r="B109" s="112" t="n"/>
      <c r="C109" s="112" t="n"/>
      <c r="D109" s="113" t="n"/>
      <c r="E109" s="60" t="inlineStr">
        <is>
          <t>Total Issues:</t>
        </is>
      </c>
      <c r="F109" s="61">
        <f>COUNTA(H9:H108)</f>
        <v/>
      </c>
      <c r="G109" s="60" t="inlineStr">
        <is>
          <t>Resolved:</t>
        </is>
      </c>
      <c r="H109" s="61">
        <f>COUNTIF(L9:L108,"Yes")</f>
        <v/>
      </c>
      <c r="I109" s="60" t="inlineStr">
        <is>
          <t>Unresolved:</t>
        </is>
      </c>
      <c r="J109" s="61">
        <f>COUNTIF(L9:L108,"No")</f>
        <v/>
      </c>
      <c r="K109" s="60" t="inlineStr">
        <is>
          <t>Avg Hrs:</t>
        </is>
      </c>
      <c r="L109" s="61">
        <f>IFERROR(AVERAGE(M9:M108),0)</f>
        <v/>
      </c>
      <c r="M109" s="60" t="inlineStr">
        <is>
          <t>Parts Cost:</t>
        </is>
      </c>
      <c r="N109" s="62">
        <f>SUM(O9:O108)</f>
        <v/>
      </c>
      <c r="O109" s="60" t="inlineStr">
        <is>
          <t>Critical:</t>
        </is>
      </c>
      <c r="P109" s="61">
        <f>COUNTIF(Q9:Q108,"🔴 Critical")</f>
        <v/>
      </c>
    </row>
    <row r="110" ht="10" customHeight="1"/>
    <row r="111" ht="20" customHeight="1">
      <c r="A111" s="36" t="inlineStr">
        <is>
          <t>━━  REPORT ACKNOWLEDGEMENT &amp; SIGN-OFF  ━━</t>
        </is>
      </c>
    </row>
    <row r="112" ht="20" customHeight="1">
      <c r="A112" s="37" t="inlineStr">
        <is>
          <t>🔧  TECHNICIAN / ENGINEER</t>
        </is>
      </c>
      <c r="J112" s="38" t="inlineStr">
        <is>
          <t>✅  CLIENT / ADMIN COUNTER-SIGNATURE</t>
        </is>
      </c>
    </row>
    <row r="113" ht="50" customHeight="1">
      <c r="A113" s="39" t="inlineStr">
        <is>
          <t>Name:      ___________________________
Signature: ___________________________
Date:      _______________</t>
        </is>
      </c>
      <c r="B113" s="112" t="n"/>
      <c r="C113" s="112" t="n"/>
      <c r="D113" s="112" t="n"/>
      <c r="E113" s="112" t="n"/>
      <c r="F113" s="112" t="n"/>
      <c r="G113" s="112" t="n"/>
      <c r="H113" s="112" t="n"/>
      <c r="I113" s="113" t="n"/>
      <c r="J113" s="40" t="inlineStr">
        <is>
          <t>Name:        ___________________________
Designation: ___________________________
Signature:   ___________________________
Date:        _______________</t>
        </is>
      </c>
      <c r="K113" s="112" t="n"/>
      <c r="L113" s="112" t="n"/>
      <c r="M113" s="112" t="n"/>
      <c r="N113" s="112" t="n"/>
      <c r="O113" s="112" t="n"/>
      <c r="P113" s="112" t="n"/>
      <c r="Q113" s="112" t="n"/>
      <c r="R113" s="113" t="n"/>
    </row>
    <row r="114" ht="50" customHeight="1"/>
    <row r="115" ht="20" customHeight="1">
      <c r="A115" s="41" t="inlineStr">
        <is>
          <t>DECLARATION</t>
        </is>
      </c>
    </row>
    <row r="116" ht="30" customHeight="1">
      <c r="A116" s="42" t="inlineStr">
        <is>
          <t>I/We confirm that issues, actions and findings documented in this report are accurate and reflect the work carried out during this visit. Outstanding items have been communicated. Both parties agree to the contents of this report.</t>
        </is>
      </c>
      <c r="B116" s="112" t="n"/>
      <c r="C116" s="112" t="n"/>
      <c r="D116" s="112" t="n"/>
      <c r="E116" s="112" t="n"/>
      <c r="F116" s="112" t="n"/>
      <c r="G116" s="112" t="n"/>
      <c r="H116" s="112" t="n"/>
      <c r="I116" s="112" t="n"/>
      <c r="J116" s="112" t="n"/>
      <c r="K116" s="112" t="n"/>
      <c r="L116" s="112" t="n"/>
      <c r="M116" s="112" t="n"/>
      <c r="N116" s="112" t="n"/>
      <c r="O116" s="112" t="n"/>
      <c r="P116" s="112" t="n"/>
      <c r="Q116" s="112" t="n"/>
      <c r="R116" s="113" t="n"/>
    </row>
  </sheetData>
  <mergeCells count="14">
    <mergeCell ref="A112:I112"/>
    <mergeCell ref="A113:I113"/>
    <mergeCell ref="A7:R7"/>
    <mergeCell ref="A2:R2"/>
    <mergeCell ref="J112:R112"/>
    <mergeCell ref="A115:R115"/>
    <mergeCell ref="A109:D109"/>
    <mergeCell ref="J113:R113"/>
    <mergeCell ref="A116:R116"/>
    <mergeCell ref="A5:R5"/>
    <mergeCell ref="A1:R1"/>
    <mergeCell ref="A111:R111"/>
    <mergeCell ref="A6:R6"/>
    <mergeCell ref="A4:R4"/>
  </mergeCells>
  <dataValidations count="6">
    <dataValidation sqref="B9:B108" showDropDown="0" showInputMessage="0" showErrorMessage="0" allowBlank="1" type="list">
      <formula1>'⚙ Config'!$A$5:$A$44</formula1>
    </dataValidation>
    <dataValidation sqref="D9:D108" showDropDown="0" showInputMessage="0" showErrorMessage="0" allowBlank="1" type="list">
      <formula1>'⚙ Config'!$C$5:$C$44</formula1>
    </dataValidation>
    <dataValidation sqref="K9:K108" showDropDown="0" showInputMessage="0" showErrorMessage="0" allowBlank="1" type="list">
      <formula1>'⚙ Config'!$E$5:$E$9</formula1>
    </dataValidation>
    <dataValidation sqref="L9:L108" showDropDown="0" showInputMessage="0" showErrorMessage="0" allowBlank="1" type="list">
      <formula1>'⚙ Config'!$I$5:$I$7</formula1>
    </dataValidation>
    <dataValidation sqref="Q9:Q108" showDropDown="0" showInputMessage="0" showErrorMessage="0" allowBlank="1" type="list">
      <formula1>'⚙ Config'!$G$5:$G$8</formula1>
    </dataValidation>
    <dataValidation sqref="R9:R108" showDropDown="0" showInputMessage="0" showErrorMessage="0" allowBlank="1" type="date"/>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17A589"/>
    <outlinePr summaryBelow="1" summaryRight="1"/>
    <pageSetUpPr/>
  </sheetPr>
  <dimension ref="A1:J115"/>
  <sheetViews>
    <sheetView showGridLines="0" workbookViewId="0">
      <pane ySplit="7" topLeftCell="A8" activePane="bottomLeft" state="frozen"/>
      <selection pane="bottomLeft" activeCell="A1" sqref="A1"/>
    </sheetView>
  </sheetViews>
  <sheetFormatPr baseColWidth="8" defaultRowHeight="15"/>
  <cols>
    <col width="4" customWidth="1" min="1" max="1"/>
    <col width="16" customWidth="1" min="2" max="2"/>
    <col width="18" customWidth="1" min="3" max="3"/>
    <col width="18" customWidth="1" min="4" max="4"/>
    <col width="16" customWidth="1" min="5" max="5"/>
    <col width="20" customWidth="1" min="6" max="6"/>
    <col width="12" customWidth="1" min="7" max="7"/>
    <col width="16" customWidth="1" min="8" max="8"/>
    <col width="10" customWidth="1" min="9" max="9"/>
    <col width="24" customWidth="1" min="10" max="10"/>
  </cols>
  <sheetData>
    <row r="1" ht="40" customHeight="1">
      <c r="A1" s="63" t="inlineStr">
        <is>
          <t>🌐  NETWORK POINTS WALKTHROUGH — OFFICE-BY-OFFICE AUDIT</t>
        </is>
      </c>
    </row>
    <row r="2" ht="18" customHeight="1">
      <c r="A2" s="64" t="inlineStr">
        <is>
          <t>Walk each office with the admin. Point IDs entered here auto-fill into the Visit Log.</t>
        </is>
      </c>
    </row>
    <row r="3" ht="18" customHeight="1">
      <c r="A3" s="65" t="inlineStr">
        <is>
          <t>Date:</t>
        </is>
      </c>
      <c r="C3" s="66">
        <f>'📋 Site Cover'!C7</f>
        <v/>
      </c>
      <c r="D3" s="65" t="inlineStr">
        <is>
          <t>Admin with you:</t>
        </is>
      </c>
      <c r="F3" s="67">
        <f>'📋 Site Cover'!C12</f>
        <v/>
      </c>
      <c r="G3" s="65" t="inlineStr">
        <is>
          <t>Site:</t>
        </is>
      </c>
      <c r="H3" s="65" t="inlineStr"/>
      <c r="I3" s="67">
        <f>'📋 Site Cover'!C5</f>
        <v/>
      </c>
      <c r="J3" s="65" t="inlineStr"/>
    </row>
    <row r="4" ht="4" customHeight="1">
      <c r="A4" s="68" t="n"/>
    </row>
    <row r="5" ht="15" customHeight="1">
      <c r="A5" s="69" t="inlineStr">
        <is>
          <t>PORT STATUS:  ✅ Active  ❌ Dead/No Link  🔄 Intermittent  🔌 Not Patched  🔒 Disabled  🔧 Re-terminate</t>
        </is>
      </c>
    </row>
    <row r="6" ht="16" customHeight="1">
      <c r="A6" s="51" t="inlineStr">
        <is>
          <t>💡 The 'Point ID' (col B) is the KEY — type it in Visit Log col E to auto-pull device location and connection details</t>
        </is>
      </c>
    </row>
    <row r="7" ht="36" customHeight="1">
      <c r="A7" s="5" t="inlineStr">
        <is>
          <t>#</t>
        </is>
      </c>
      <c r="B7" s="5" t="inlineStr">
        <is>
          <t>Point ID
(e.g. AP-01, SW-A2)</t>
        </is>
      </c>
      <c r="C7" s="5" t="inlineStr">
        <is>
          <t>Office / Room</t>
        </is>
      </c>
      <c r="D7" s="5" t="inlineStr">
        <is>
          <t>Department</t>
        </is>
      </c>
      <c r="E7" s="5" t="inlineStr">
        <is>
          <t>Device Type</t>
        </is>
      </c>
      <c r="F7" s="5" t="inlineStr">
        <is>
          <t>Connected To
(Switch/AP/Router)</t>
        </is>
      </c>
      <c r="G7" s="5" t="inlineStr">
        <is>
          <t>Switch Port
# / VLAN</t>
        </is>
      </c>
      <c r="H7" s="5" t="inlineStr">
        <is>
          <t>Port Status</t>
        </is>
      </c>
      <c r="I7" s="5" t="inlineStr">
        <is>
          <t>Speed
(Mbps)</t>
        </is>
      </c>
      <c r="J7" s="5" t="inlineStr">
        <is>
          <t>Issue / Remarks</t>
        </is>
      </c>
    </row>
    <row r="8" ht="36" customHeight="1">
      <c r="A8" s="70" t="n">
        <v>1</v>
      </c>
      <c r="B8" s="16" t="n"/>
      <c r="C8" s="16" t="n"/>
      <c r="D8" s="16" t="n"/>
      <c r="E8" s="16" t="n"/>
      <c r="F8" s="16" t="n"/>
      <c r="G8" s="16" t="n"/>
      <c r="H8" s="16" t="n"/>
      <c r="I8" s="16" t="n"/>
      <c r="J8" s="16" t="n"/>
    </row>
    <row r="9" ht="36" customHeight="1">
      <c r="A9" s="52" t="n">
        <v>2</v>
      </c>
      <c r="B9" s="12" t="n"/>
      <c r="C9" s="12" t="n"/>
      <c r="D9" s="12" t="n"/>
      <c r="E9" s="12" t="n"/>
      <c r="F9" s="12" t="n"/>
      <c r="G9" s="12" t="n"/>
      <c r="H9" s="12" t="n"/>
      <c r="I9" s="12" t="n"/>
      <c r="J9" s="12" t="n"/>
    </row>
    <row r="10" ht="36" customHeight="1">
      <c r="A10" s="70" t="n">
        <v>3</v>
      </c>
      <c r="B10" s="16" t="n"/>
      <c r="C10" s="16" t="n"/>
      <c r="D10" s="16" t="n"/>
      <c r="E10" s="16" t="n"/>
      <c r="F10" s="16" t="n"/>
      <c r="G10" s="16" t="n"/>
      <c r="H10" s="16" t="n"/>
      <c r="I10" s="16" t="n"/>
      <c r="J10" s="16" t="n"/>
    </row>
    <row r="11" ht="36" customHeight="1">
      <c r="A11" s="52" t="n">
        <v>4</v>
      </c>
      <c r="B11" s="12" t="n"/>
      <c r="C11" s="12" t="n"/>
      <c r="D11" s="12" t="n"/>
      <c r="E11" s="12" t="n"/>
      <c r="F11" s="12" t="n"/>
      <c r="G11" s="12" t="n"/>
      <c r="H11" s="12" t="n"/>
      <c r="I11" s="12" t="n"/>
      <c r="J11" s="12" t="n"/>
    </row>
    <row r="12" ht="36" customHeight="1">
      <c r="A12" s="70" t="n">
        <v>5</v>
      </c>
      <c r="B12" s="16" t="n"/>
      <c r="C12" s="16" t="n"/>
      <c r="D12" s="16" t="n"/>
      <c r="E12" s="16" t="n"/>
      <c r="F12" s="16" t="n"/>
      <c r="G12" s="16" t="n"/>
      <c r="H12" s="16" t="n"/>
      <c r="I12" s="16" t="n"/>
      <c r="J12" s="16" t="n"/>
    </row>
    <row r="13" ht="36" customHeight="1">
      <c r="A13" s="52" t="n">
        <v>6</v>
      </c>
      <c r="B13" s="12" t="n"/>
      <c r="C13" s="12" t="n"/>
      <c r="D13" s="12" t="n"/>
      <c r="E13" s="12" t="n"/>
      <c r="F13" s="12" t="n"/>
      <c r="G13" s="12" t="n"/>
      <c r="H13" s="12" t="n"/>
      <c r="I13" s="12" t="n"/>
      <c r="J13" s="12" t="n"/>
    </row>
    <row r="14" ht="36" customHeight="1">
      <c r="A14" s="70" t="n">
        <v>7</v>
      </c>
      <c r="B14" s="16" t="n"/>
      <c r="C14" s="16" t="n"/>
      <c r="D14" s="16" t="n"/>
      <c r="E14" s="16" t="n"/>
      <c r="F14" s="16" t="n"/>
      <c r="G14" s="16" t="n"/>
      <c r="H14" s="16" t="n"/>
      <c r="I14" s="16" t="n"/>
      <c r="J14" s="16" t="n"/>
    </row>
    <row r="15" ht="36" customHeight="1">
      <c r="A15" s="52" t="n">
        <v>8</v>
      </c>
      <c r="B15" s="12" t="n"/>
      <c r="C15" s="12" t="n"/>
      <c r="D15" s="12" t="n"/>
      <c r="E15" s="12" t="n"/>
      <c r="F15" s="12" t="n"/>
      <c r="G15" s="12" t="n"/>
      <c r="H15" s="12" t="n"/>
      <c r="I15" s="12" t="n"/>
      <c r="J15" s="12" t="n"/>
    </row>
    <row r="16" ht="36" customHeight="1">
      <c r="A16" s="70" t="n">
        <v>9</v>
      </c>
      <c r="B16" s="16" t="n"/>
      <c r="C16" s="16" t="n"/>
      <c r="D16" s="16" t="n"/>
      <c r="E16" s="16" t="n"/>
      <c r="F16" s="16" t="n"/>
      <c r="G16" s="16" t="n"/>
      <c r="H16" s="16" t="n"/>
      <c r="I16" s="16" t="n"/>
      <c r="J16" s="16" t="n"/>
    </row>
    <row r="17" ht="36" customHeight="1">
      <c r="A17" s="52" t="n">
        <v>10</v>
      </c>
      <c r="B17" s="12" t="n"/>
      <c r="C17" s="12" t="n"/>
      <c r="D17" s="12" t="n"/>
      <c r="E17" s="12" t="n"/>
      <c r="F17" s="12" t="n"/>
      <c r="G17" s="12" t="n"/>
      <c r="H17" s="12" t="n"/>
      <c r="I17" s="12" t="n"/>
      <c r="J17" s="12" t="n"/>
    </row>
    <row r="18" ht="36" customHeight="1">
      <c r="A18" s="70" t="n">
        <v>11</v>
      </c>
      <c r="B18" s="16" t="n"/>
      <c r="C18" s="16" t="n"/>
      <c r="D18" s="16" t="n"/>
      <c r="E18" s="16" t="n"/>
      <c r="F18" s="16" t="n"/>
      <c r="G18" s="16" t="n"/>
      <c r="H18" s="16" t="n"/>
      <c r="I18" s="16" t="n"/>
      <c r="J18" s="16" t="n"/>
    </row>
    <row r="19" ht="36" customHeight="1">
      <c r="A19" s="52" t="n">
        <v>12</v>
      </c>
      <c r="B19" s="12" t="n"/>
      <c r="C19" s="12" t="n"/>
      <c r="D19" s="12" t="n"/>
      <c r="E19" s="12" t="n"/>
      <c r="F19" s="12" t="n"/>
      <c r="G19" s="12" t="n"/>
      <c r="H19" s="12" t="n"/>
      <c r="I19" s="12" t="n"/>
      <c r="J19" s="12" t="n"/>
    </row>
    <row r="20" ht="36" customHeight="1">
      <c r="A20" s="70" t="n">
        <v>13</v>
      </c>
      <c r="B20" s="16" t="n"/>
      <c r="C20" s="16" t="n"/>
      <c r="D20" s="16" t="n"/>
      <c r="E20" s="16" t="n"/>
      <c r="F20" s="16" t="n"/>
      <c r="G20" s="16" t="n"/>
      <c r="H20" s="16" t="n"/>
      <c r="I20" s="16" t="n"/>
      <c r="J20" s="16" t="n"/>
    </row>
    <row r="21" ht="36" customHeight="1">
      <c r="A21" s="52" t="n">
        <v>14</v>
      </c>
      <c r="B21" s="12" t="n"/>
      <c r="C21" s="12" t="n"/>
      <c r="D21" s="12" t="n"/>
      <c r="E21" s="12" t="n"/>
      <c r="F21" s="12" t="n"/>
      <c r="G21" s="12" t="n"/>
      <c r="H21" s="12" t="n"/>
      <c r="I21" s="12" t="n"/>
      <c r="J21" s="12" t="n"/>
    </row>
    <row r="22" ht="36" customHeight="1">
      <c r="A22" s="70" t="n">
        <v>15</v>
      </c>
      <c r="B22" s="16" t="n"/>
      <c r="C22" s="16" t="n"/>
      <c r="D22" s="16" t="n"/>
      <c r="E22" s="16" t="n"/>
      <c r="F22" s="16" t="n"/>
      <c r="G22" s="16" t="n"/>
      <c r="H22" s="16" t="n"/>
      <c r="I22" s="16" t="n"/>
      <c r="J22" s="16" t="n"/>
    </row>
    <row r="23" ht="36" customHeight="1">
      <c r="A23" s="52" t="n">
        <v>16</v>
      </c>
      <c r="B23" s="12" t="n"/>
      <c r="C23" s="12" t="n"/>
      <c r="D23" s="12" t="n"/>
      <c r="E23" s="12" t="n"/>
      <c r="F23" s="12" t="n"/>
      <c r="G23" s="12" t="n"/>
      <c r="H23" s="12" t="n"/>
      <c r="I23" s="12" t="n"/>
      <c r="J23" s="12" t="n"/>
    </row>
    <row r="24" ht="36" customHeight="1">
      <c r="A24" s="70" t="n">
        <v>17</v>
      </c>
      <c r="B24" s="16" t="n"/>
      <c r="C24" s="16" t="n"/>
      <c r="D24" s="16" t="n"/>
      <c r="E24" s="16" t="n"/>
      <c r="F24" s="16" t="n"/>
      <c r="G24" s="16" t="n"/>
      <c r="H24" s="16" t="n"/>
      <c r="I24" s="16" t="n"/>
      <c r="J24" s="16" t="n"/>
    </row>
    <row r="25" ht="36" customHeight="1">
      <c r="A25" s="52" t="n">
        <v>18</v>
      </c>
      <c r="B25" s="12" t="n"/>
      <c r="C25" s="12" t="n"/>
      <c r="D25" s="12" t="n"/>
      <c r="E25" s="12" t="n"/>
      <c r="F25" s="12" t="n"/>
      <c r="G25" s="12" t="n"/>
      <c r="H25" s="12" t="n"/>
      <c r="I25" s="12" t="n"/>
      <c r="J25" s="12" t="n"/>
    </row>
    <row r="26" ht="36" customHeight="1">
      <c r="A26" s="70" t="n">
        <v>19</v>
      </c>
      <c r="B26" s="16" t="n"/>
      <c r="C26" s="16" t="n"/>
      <c r="D26" s="16" t="n"/>
      <c r="E26" s="16" t="n"/>
      <c r="F26" s="16" t="n"/>
      <c r="G26" s="16" t="n"/>
      <c r="H26" s="16" t="n"/>
      <c r="I26" s="16" t="n"/>
      <c r="J26" s="16" t="n"/>
    </row>
    <row r="27" ht="36" customHeight="1">
      <c r="A27" s="52" t="n">
        <v>20</v>
      </c>
      <c r="B27" s="12" t="n"/>
      <c r="C27" s="12" t="n"/>
      <c r="D27" s="12" t="n"/>
      <c r="E27" s="12" t="n"/>
      <c r="F27" s="12" t="n"/>
      <c r="G27" s="12" t="n"/>
      <c r="H27" s="12" t="n"/>
      <c r="I27" s="12" t="n"/>
      <c r="J27" s="12" t="n"/>
    </row>
    <row r="28" ht="36" customHeight="1">
      <c r="A28" s="70" t="n">
        <v>21</v>
      </c>
      <c r="B28" s="16" t="n"/>
      <c r="C28" s="16" t="n"/>
      <c r="D28" s="16" t="n"/>
      <c r="E28" s="16" t="n"/>
      <c r="F28" s="16" t="n"/>
      <c r="G28" s="16" t="n"/>
      <c r="H28" s="16" t="n"/>
      <c r="I28" s="16" t="n"/>
      <c r="J28" s="16" t="n"/>
    </row>
    <row r="29" ht="36" customHeight="1">
      <c r="A29" s="52" t="n">
        <v>22</v>
      </c>
      <c r="B29" s="12" t="n"/>
      <c r="C29" s="12" t="n"/>
      <c r="D29" s="12" t="n"/>
      <c r="E29" s="12" t="n"/>
      <c r="F29" s="12" t="n"/>
      <c r="G29" s="12" t="n"/>
      <c r="H29" s="12" t="n"/>
      <c r="I29" s="12" t="n"/>
      <c r="J29" s="12" t="n"/>
    </row>
    <row r="30" ht="36" customHeight="1">
      <c r="A30" s="70" t="n">
        <v>23</v>
      </c>
      <c r="B30" s="16" t="n"/>
      <c r="C30" s="16" t="n"/>
      <c r="D30" s="16" t="n"/>
      <c r="E30" s="16" t="n"/>
      <c r="F30" s="16" t="n"/>
      <c r="G30" s="16" t="n"/>
      <c r="H30" s="16" t="n"/>
      <c r="I30" s="16" t="n"/>
      <c r="J30" s="16" t="n"/>
    </row>
    <row r="31" ht="36" customHeight="1">
      <c r="A31" s="52" t="n">
        <v>24</v>
      </c>
      <c r="B31" s="12" t="n"/>
      <c r="C31" s="12" t="n"/>
      <c r="D31" s="12" t="n"/>
      <c r="E31" s="12" t="n"/>
      <c r="F31" s="12" t="n"/>
      <c r="G31" s="12" t="n"/>
      <c r="H31" s="12" t="n"/>
      <c r="I31" s="12" t="n"/>
      <c r="J31" s="12" t="n"/>
    </row>
    <row r="32" ht="36" customHeight="1">
      <c r="A32" s="70" t="n">
        <v>25</v>
      </c>
      <c r="B32" s="16" t="n"/>
      <c r="C32" s="16" t="n"/>
      <c r="D32" s="16" t="n"/>
      <c r="E32" s="16" t="n"/>
      <c r="F32" s="16" t="n"/>
      <c r="G32" s="16" t="n"/>
      <c r="H32" s="16" t="n"/>
      <c r="I32" s="16" t="n"/>
      <c r="J32" s="16" t="n"/>
    </row>
    <row r="33" ht="36" customHeight="1">
      <c r="A33" s="52" t="n">
        <v>26</v>
      </c>
      <c r="B33" s="12" t="n"/>
      <c r="C33" s="12" t="n"/>
      <c r="D33" s="12" t="n"/>
      <c r="E33" s="12" t="n"/>
      <c r="F33" s="12" t="n"/>
      <c r="G33" s="12" t="n"/>
      <c r="H33" s="12" t="n"/>
      <c r="I33" s="12" t="n"/>
      <c r="J33" s="12" t="n"/>
    </row>
    <row r="34" ht="36" customHeight="1">
      <c r="A34" s="70" t="n">
        <v>27</v>
      </c>
      <c r="B34" s="16" t="n"/>
      <c r="C34" s="16" t="n"/>
      <c r="D34" s="16" t="n"/>
      <c r="E34" s="16" t="n"/>
      <c r="F34" s="16" t="n"/>
      <c r="G34" s="16" t="n"/>
      <c r="H34" s="16" t="n"/>
      <c r="I34" s="16" t="n"/>
      <c r="J34" s="16" t="n"/>
    </row>
    <row r="35" ht="36" customHeight="1">
      <c r="A35" s="52" t="n">
        <v>28</v>
      </c>
      <c r="B35" s="12" t="n"/>
      <c r="C35" s="12" t="n"/>
      <c r="D35" s="12" t="n"/>
      <c r="E35" s="12" t="n"/>
      <c r="F35" s="12" t="n"/>
      <c r="G35" s="12" t="n"/>
      <c r="H35" s="12" t="n"/>
      <c r="I35" s="12" t="n"/>
      <c r="J35" s="12" t="n"/>
    </row>
    <row r="36" ht="36" customHeight="1">
      <c r="A36" s="70" t="n">
        <v>29</v>
      </c>
      <c r="B36" s="16" t="n"/>
      <c r="C36" s="16" t="n"/>
      <c r="D36" s="16" t="n"/>
      <c r="E36" s="16" t="n"/>
      <c r="F36" s="16" t="n"/>
      <c r="G36" s="16" t="n"/>
      <c r="H36" s="16" t="n"/>
      <c r="I36" s="16" t="n"/>
      <c r="J36" s="16" t="n"/>
    </row>
    <row r="37" ht="36" customHeight="1">
      <c r="A37" s="52" t="n">
        <v>30</v>
      </c>
      <c r="B37" s="12" t="n"/>
      <c r="C37" s="12" t="n"/>
      <c r="D37" s="12" t="n"/>
      <c r="E37" s="12" t="n"/>
      <c r="F37" s="12" t="n"/>
      <c r="G37" s="12" t="n"/>
      <c r="H37" s="12" t="n"/>
      <c r="I37" s="12" t="n"/>
      <c r="J37" s="12" t="n"/>
    </row>
    <row r="38" ht="36" customHeight="1">
      <c r="A38" s="70" t="n">
        <v>31</v>
      </c>
      <c r="B38" s="16" t="n"/>
      <c r="C38" s="16" t="n"/>
      <c r="D38" s="16" t="n"/>
      <c r="E38" s="16" t="n"/>
      <c r="F38" s="16" t="n"/>
      <c r="G38" s="16" t="n"/>
      <c r="H38" s="16" t="n"/>
      <c r="I38" s="16" t="n"/>
      <c r="J38" s="16" t="n"/>
    </row>
    <row r="39" ht="36" customHeight="1">
      <c r="A39" s="52" t="n">
        <v>32</v>
      </c>
      <c r="B39" s="12" t="n"/>
      <c r="C39" s="12" t="n"/>
      <c r="D39" s="12" t="n"/>
      <c r="E39" s="12" t="n"/>
      <c r="F39" s="12" t="n"/>
      <c r="G39" s="12" t="n"/>
      <c r="H39" s="12" t="n"/>
      <c r="I39" s="12" t="n"/>
      <c r="J39" s="12" t="n"/>
    </row>
    <row r="40" ht="36" customHeight="1">
      <c r="A40" s="70" t="n">
        <v>33</v>
      </c>
      <c r="B40" s="16" t="n"/>
      <c r="C40" s="16" t="n"/>
      <c r="D40" s="16" t="n"/>
      <c r="E40" s="16" t="n"/>
      <c r="F40" s="16" t="n"/>
      <c r="G40" s="16" t="n"/>
      <c r="H40" s="16" t="n"/>
      <c r="I40" s="16" t="n"/>
      <c r="J40" s="16" t="n"/>
    </row>
    <row r="41" ht="36" customHeight="1">
      <c r="A41" s="52" t="n">
        <v>34</v>
      </c>
      <c r="B41" s="12" t="n"/>
      <c r="C41" s="12" t="n"/>
      <c r="D41" s="12" t="n"/>
      <c r="E41" s="12" t="n"/>
      <c r="F41" s="12" t="n"/>
      <c r="G41" s="12" t="n"/>
      <c r="H41" s="12" t="n"/>
      <c r="I41" s="12" t="n"/>
      <c r="J41" s="12" t="n"/>
    </row>
    <row r="42" ht="36" customHeight="1">
      <c r="A42" s="70" t="n">
        <v>35</v>
      </c>
      <c r="B42" s="16" t="n"/>
      <c r="C42" s="16" t="n"/>
      <c r="D42" s="16" t="n"/>
      <c r="E42" s="16" t="n"/>
      <c r="F42" s="16" t="n"/>
      <c r="G42" s="16" t="n"/>
      <c r="H42" s="16" t="n"/>
      <c r="I42" s="16" t="n"/>
      <c r="J42" s="16" t="n"/>
    </row>
    <row r="43" ht="36" customHeight="1">
      <c r="A43" s="52" t="n">
        <v>36</v>
      </c>
      <c r="B43" s="12" t="n"/>
      <c r="C43" s="12" t="n"/>
      <c r="D43" s="12" t="n"/>
      <c r="E43" s="12" t="n"/>
      <c r="F43" s="12" t="n"/>
      <c r="G43" s="12" t="n"/>
      <c r="H43" s="12" t="n"/>
      <c r="I43" s="12" t="n"/>
      <c r="J43" s="12" t="n"/>
    </row>
    <row r="44" ht="36" customHeight="1">
      <c r="A44" s="70" t="n">
        <v>37</v>
      </c>
      <c r="B44" s="16" t="n"/>
      <c r="C44" s="16" t="n"/>
      <c r="D44" s="16" t="n"/>
      <c r="E44" s="16" t="n"/>
      <c r="F44" s="16" t="n"/>
      <c r="G44" s="16" t="n"/>
      <c r="H44" s="16" t="n"/>
      <c r="I44" s="16" t="n"/>
      <c r="J44" s="16" t="n"/>
    </row>
    <row r="45" ht="36" customHeight="1">
      <c r="A45" s="52" t="n">
        <v>38</v>
      </c>
      <c r="B45" s="12" t="n"/>
      <c r="C45" s="12" t="n"/>
      <c r="D45" s="12" t="n"/>
      <c r="E45" s="12" t="n"/>
      <c r="F45" s="12" t="n"/>
      <c r="G45" s="12" t="n"/>
      <c r="H45" s="12" t="n"/>
      <c r="I45" s="12" t="n"/>
      <c r="J45" s="12" t="n"/>
    </row>
    <row r="46" ht="36" customHeight="1">
      <c r="A46" s="70" t="n">
        <v>39</v>
      </c>
      <c r="B46" s="16" t="n"/>
      <c r="C46" s="16" t="n"/>
      <c r="D46" s="16" t="n"/>
      <c r="E46" s="16" t="n"/>
      <c r="F46" s="16" t="n"/>
      <c r="G46" s="16" t="n"/>
      <c r="H46" s="16" t="n"/>
      <c r="I46" s="16" t="n"/>
      <c r="J46" s="16" t="n"/>
    </row>
    <row r="47" ht="36" customHeight="1">
      <c r="A47" s="52" t="n">
        <v>40</v>
      </c>
      <c r="B47" s="12" t="n"/>
      <c r="C47" s="12" t="n"/>
      <c r="D47" s="12" t="n"/>
      <c r="E47" s="12" t="n"/>
      <c r="F47" s="12" t="n"/>
      <c r="G47" s="12" t="n"/>
      <c r="H47" s="12" t="n"/>
      <c r="I47" s="12" t="n"/>
      <c r="J47" s="12" t="n"/>
    </row>
    <row r="48" ht="36" customHeight="1">
      <c r="A48" s="70" t="n">
        <v>41</v>
      </c>
      <c r="B48" s="16" t="n"/>
      <c r="C48" s="16" t="n"/>
      <c r="D48" s="16" t="n"/>
      <c r="E48" s="16" t="n"/>
      <c r="F48" s="16" t="n"/>
      <c r="G48" s="16" t="n"/>
      <c r="H48" s="16" t="n"/>
      <c r="I48" s="16" t="n"/>
      <c r="J48" s="16" t="n"/>
    </row>
    <row r="49" ht="36" customHeight="1">
      <c r="A49" s="52" t="n">
        <v>42</v>
      </c>
      <c r="B49" s="12" t="n"/>
      <c r="C49" s="12" t="n"/>
      <c r="D49" s="12" t="n"/>
      <c r="E49" s="12" t="n"/>
      <c r="F49" s="12" t="n"/>
      <c r="G49" s="12" t="n"/>
      <c r="H49" s="12" t="n"/>
      <c r="I49" s="12" t="n"/>
      <c r="J49" s="12" t="n"/>
    </row>
    <row r="50" ht="36" customHeight="1">
      <c r="A50" s="70" t="n">
        <v>43</v>
      </c>
      <c r="B50" s="16" t="n"/>
      <c r="C50" s="16" t="n"/>
      <c r="D50" s="16" t="n"/>
      <c r="E50" s="16" t="n"/>
      <c r="F50" s="16" t="n"/>
      <c r="G50" s="16" t="n"/>
      <c r="H50" s="16" t="n"/>
      <c r="I50" s="16" t="n"/>
      <c r="J50" s="16" t="n"/>
    </row>
    <row r="51" ht="36" customHeight="1">
      <c r="A51" s="52" t="n">
        <v>44</v>
      </c>
      <c r="B51" s="12" t="n"/>
      <c r="C51" s="12" t="n"/>
      <c r="D51" s="12" t="n"/>
      <c r="E51" s="12" t="n"/>
      <c r="F51" s="12" t="n"/>
      <c r="G51" s="12" t="n"/>
      <c r="H51" s="12" t="n"/>
      <c r="I51" s="12" t="n"/>
      <c r="J51" s="12" t="n"/>
    </row>
    <row r="52" ht="36" customHeight="1">
      <c r="A52" s="70" t="n">
        <v>45</v>
      </c>
      <c r="B52" s="16" t="n"/>
      <c r="C52" s="16" t="n"/>
      <c r="D52" s="16" t="n"/>
      <c r="E52" s="16" t="n"/>
      <c r="F52" s="16" t="n"/>
      <c r="G52" s="16" t="n"/>
      <c r="H52" s="16" t="n"/>
      <c r="I52" s="16" t="n"/>
      <c r="J52" s="16" t="n"/>
    </row>
    <row r="53" ht="36" customHeight="1">
      <c r="A53" s="52" t="n">
        <v>46</v>
      </c>
      <c r="B53" s="12" t="n"/>
      <c r="C53" s="12" t="n"/>
      <c r="D53" s="12" t="n"/>
      <c r="E53" s="12" t="n"/>
      <c r="F53" s="12" t="n"/>
      <c r="G53" s="12" t="n"/>
      <c r="H53" s="12" t="n"/>
      <c r="I53" s="12" t="n"/>
      <c r="J53" s="12" t="n"/>
    </row>
    <row r="54" ht="36" customHeight="1">
      <c r="A54" s="70" t="n">
        <v>47</v>
      </c>
      <c r="B54" s="16" t="n"/>
      <c r="C54" s="16" t="n"/>
      <c r="D54" s="16" t="n"/>
      <c r="E54" s="16" t="n"/>
      <c r="F54" s="16" t="n"/>
      <c r="G54" s="16" t="n"/>
      <c r="H54" s="16" t="n"/>
      <c r="I54" s="16" t="n"/>
      <c r="J54" s="16" t="n"/>
    </row>
    <row r="55" ht="36" customHeight="1">
      <c r="A55" s="52" t="n">
        <v>48</v>
      </c>
      <c r="B55" s="12" t="n"/>
      <c r="C55" s="12" t="n"/>
      <c r="D55" s="12" t="n"/>
      <c r="E55" s="12" t="n"/>
      <c r="F55" s="12" t="n"/>
      <c r="G55" s="12" t="n"/>
      <c r="H55" s="12" t="n"/>
      <c r="I55" s="12" t="n"/>
      <c r="J55" s="12" t="n"/>
    </row>
    <row r="56" ht="36" customHeight="1">
      <c r="A56" s="70" t="n">
        <v>49</v>
      </c>
      <c r="B56" s="16" t="n"/>
      <c r="C56" s="16" t="n"/>
      <c r="D56" s="16" t="n"/>
      <c r="E56" s="16" t="n"/>
      <c r="F56" s="16" t="n"/>
      <c r="G56" s="16" t="n"/>
      <c r="H56" s="16" t="n"/>
      <c r="I56" s="16" t="n"/>
      <c r="J56" s="16" t="n"/>
    </row>
    <row r="57" ht="36" customHeight="1">
      <c r="A57" s="52" t="n">
        <v>50</v>
      </c>
      <c r="B57" s="12" t="n"/>
      <c r="C57" s="12" t="n"/>
      <c r="D57" s="12" t="n"/>
      <c r="E57" s="12" t="n"/>
      <c r="F57" s="12" t="n"/>
      <c r="G57" s="12" t="n"/>
      <c r="H57" s="12" t="n"/>
      <c r="I57" s="12" t="n"/>
      <c r="J57" s="12" t="n"/>
    </row>
    <row r="58" ht="36" customHeight="1">
      <c r="A58" s="70" t="n">
        <v>51</v>
      </c>
      <c r="B58" s="16" t="n"/>
      <c r="C58" s="16" t="n"/>
      <c r="D58" s="16" t="n"/>
      <c r="E58" s="16" t="n"/>
      <c r="F58" s="16" t="n"/>
      <c r="G58" s="16" t="n"/>
      <c r="H58" s="16" t="n"/>
      <c r="I58" s="16" t="n"/>
      <c r="J58" s="16" t="n"/>
    </row>
    <row r="59" ht="36" customHeight="1">
      <c r="A59" s="52" t="n">
        <v>52</v>
      </c>
      <c r="B59" s="12" t="n"/>
      <c r="C59" s="12" t="n"/>
      <c r="D59" s="12" t="n"/>
      <c r="E59" s="12" t="n"/>
      <c r="F59" s="12" t="n"/>
      <c r="G59" s="12" t="n"/>
      <c r="H59" s="12" t="n"/>
      <c r="I59" s="12" t="n"/>
      <c r="J59" s="12" t="n"/>
    </row>
    <row r="60" ht="36" customHeight="1">
      <c r="A60" s="70" t="n">
        <v>53</v>
      </c>
      <c r="B60" s="16" t="n"/>
      <c r="C60" s="16" t="n"/>
      <c r="D60" s="16" t="n"/>
      <c r="E60" s="16" t="n"/>
      <c r="F60" s="16" t="n"/>
      <c r="G60" s="16" t="n"/>
      <c r="H60" s="16" t="n"/>
      <c r="I60" s="16" t="n"/>
      <c r="J60" s="16" t="n"/>
    </row>
    <row r="61" ht="36" customHeight="1">
      <c r="A61" s="52" t="n">
        <v>54</v>
      </c>
      <c r="B61" s="12" t="n"/>
      <c r="C61" s="12" t="n"/>
      <c r="D61" s="12" t="n"/>
      <c r="E61" s="12" t="n"/>
      <c r="F61" s="12" t="n"/>
      <c r="G61" s="12" t="n"/>
      <c r="H61" s="12" t="n"/>
      <c r="I61" s="12" t="n"/>
      <c r="J61" s="12" t="n"/>
    </row>
    <row r="62" ht="36" customHeight="1">
      <c r="A62" s="70" t="n">
        <v>55</v>
      </c>
      <c r="B62" s="16" t="n"/>
      <c r="C62" s="16" t="n"/>
      <c r="D62" s="16" t="n"/>
      <c r="E62" s="16" t="n"/>
      <c r="F62" s="16" t="n"/>
      <c r="G62" s="16" t="n"/>
      <c r="H62" s="16" t="n"/>
      <c r="I62" s="16" t="n"/>
      <c r="J62" s="16" t="n"/>
    </row>
    <row r="63" ht="36" customHeight="1">
      <c r="A63" s="52" t="n">
        <v>56</v>
      </c>
      <c r="B63" s="12" t="n"/>
      <c r="C63" s="12" t="n"/>
      <c r="D63" s="12" t="n"/>
      <c r="E63" s="12" t="n"/>
      <c r="F63" s="12" t="n"/>
      <c r="G63" s="12" t="n"/>
      <c r="H63" s="12" t="n"/>
      <c r="I63" s="12" t="n"/>
      <c r="J63" s="12" t="n"/>
    </row>
    <row r="64" ht="36" customHeight="1">
      <c r="A64" s="70" t="n">
        <v>57</v>
      </c>
      <c r="B64" s="16" t="n"/>
      <c r="C64" s="16" t="n"/>
      <c r="D64" s="16" t="n"/>
      <c r="E64" s="16" t="n"/>
      <c r="F64" s="16" t="n"/>
      <c r="G64" s="16" t="n"/>
      <c r="H64" s="16" t="n"/>
      <c r="I64" s="16" t="n"/>
      <c r="J64" s="16" t="n"/>
    </row>
    <row r="65" ht="36" customHeight="1">
      <c r="A65" s="52" t="n">
        <v>58</v>
      </c>
      <c r="B65" s="12" t="n"/>
      <c r="C65" s="12" t="n"/>
      <c r="D65" s="12" t="n"/>
      <c r="E65" s="12" t="n"/>
      <c r="F65" s="12" t="n"/>
      <c r="G65" s="12" t="n"/>
      <c r="H65" s="12" t="n"/>
      <c r="I65" s="12" t="n"/>
      <c r="J65" s="12" t="n"/>
    </row>
    <row r="66" ht="36" customHeight="1">
      <c r="A66" s="70" t="n">
        <v>59</v>
      </c>
      <c r="B66" s="16" t="n"/>
      <c r="C66" s="16" t="n"/>
      <c r="D66" s="16" t="n"/>
      <c r="E66" s="16" t="n"/>
      <c r="F66" s="16" t="n"/>
      <c r="G66" s="16" t="n"/>
      <c r="H66" s="16" t="n"/>
      <c r="I66" s="16" t="n"/>
      <c r="J66" s="16" t="n"/>
    </row>
    <row r="67" ht="36" customHeight="1">
      <c r="A67" s="52" t="n">
        <v>60</v>
      </c>
      <c r="B67" s="12" t="n"/>
      <c r="C67" s="12" t="n"/>
      <c r="D67" s="12" t="n"/>
      <c r="E67" s="12" t="n"/>
      <c r="F67" s="12" t="n"/>
      <c r="G67" s="12" t="n"/>
      <c r="H67" s="12" t="n"/>
      <c r="I67" s="12" t="n"/>
      <c r="J67" s="12" t="n"/>
    </row>
    <row r="68" ht="36" customHeight="1">
      <c r="A68" s="70" t="n">
        <v>61</v>
      </c>
      <c r="B68" s="16" t="n"/>
      <c r="C68" s="16" t="n"/>
      <c r="D68" s="16" t="n"/>
      <c r="E68" s="16" t="n"/>
      <c r="F68" s="16" t="n"/>
      <c r="G68" s="16" t="n"/>
      <c r="H68" s="16" t="n"/>
      <c r="I68" s="16" t="n"/>
      <c r="J68" s="16" t="n"/>
    </row>
    <row r="69" ht="36" customHeight="1">
      <c r="A69" s="52" t="n">
        <v>62</v>
      </c>
      <c r="B69" s="12" t="n"/>
      <c r="C69" s="12" t="n"/>
      <c r="D69" s="12" t="n"/>
      <c r="E69" s="12" t="n"/>
      <c r="F69" s="12" t="n"/>
      <c r="G69" s="12" t="n"/>
      <c r="H69" s="12" t="n"/>
      <c r="I69" s="12" t="n"/>
      <c r="J69" s="12" t="n"/>
    </row>
    <row r="70" ht="36" customHeight="1">
      <c r="A70" s="70" t="n">
        <v>63</v>
      </c>
      <c r="B70" s="16" t="n"/>
      <c r="C70" s="16" t="n"/>
      <c r="D70" s="16" t="n"/>
      <c r="E70" s="16" t="n"/>
      <c r="F70" s="16" t="n"/>
      <c r="G70" s="16" t="n"/>
      <c r="H70" s="16" t="n"/>
      <c r="I70" s="16" t="n"/>
      <c r="J70" s="16" t="n"/>
    </row>
    <row r="71" ht="36" customHeight="1">
      <c r="A71" s="52" t="n">
        <v>64</v>
      </c>
      <c r="B71" s="12" t="n"/>
      <c r="C71" s="12" t="n"/>
      <c r="D71" s="12" t="n"/>
      <c r="E71" s="12" t="n"/>
      <c r="F71" s="12" t="n"/>
      <c r="G71" s="12" t="n"/>
      <c r="H71" s="12" t="n"/>
      <c r="I71" s="12" t="n"/>
      <c r="J71" s="12" t="n"/>
    </row>
    <row r="72" ht="36" customHeight="1">
      <c r="A72" s="70" t="n">
        <v>65</v>
      </c>
      <c r="B72" s="16" t="n"/>
      <c r="C72" s="16" t="n"/>
      <c r="D72" s="16" t="n"/>
      <c r="E72" s="16" t="n"/>
      <c r="F72" s="16" t="n"/>
      <c r="G72" s="16" t="n"/>
      <c r="H72" s="16" t="n"/>
      <c r="I72" s="16" t="n"/>
      <c r="J72" s="16" t="n"/>
    </row>
    <row r="73" ht="36" customHeight="1">
      <c r="A73" s="52" t="n">
        <v>66</v>
      </c>
      <c r="B73" s="12" t="n"/>
      <c r="C73" s="12" t="n"/>
      <c r="D73" s="12" t="n"/>
      <c r="E73" s="12" t="n"/>
      <c r="F73" s="12" t="n"/>
      <c r="G73" s="12" t="n"/>
      <c r="H73" s="12" t="n"/>
      <c r="I73" s="12" t="n"/>
      <c r="J73" s="12" t="n"/>
    </row>
    <row r="74" ht="36" customHeight="1">
      <c r="A74" s="70" t="n">
        <v>67</v>
      </c>
      <c r="B74" s="16" t="n"/>
      <c r="C74" s="16" t="n"/>
      <c r="D74" s="16" t="n"/>
      <c r="E74" s="16" t="n"/>
      <c r="F74" s="16" t="n"/>
      <c r="G74" s="16" t="n"/>
      <c r="H74" s="16" t="n"/>
      <c r="I74" s="16" t="n"/>
      <c r="J74" s="16" t="n"/>
    </row>
    <row r="75" ht="36" customHeight="1">
      <c r="A75" s="52" t="n">
        <v>68</v>
      </c>
      <c r="B75" s="12" t="n"/>
      <c r="C75" s="12" t="n"/>
      <c r="D75" s="12" t="n"/>
      <c r="E75" s="12" t="n"/>
      <c r="F75" s="12" t="n"/>
      <c r="G75" s="12" t="n"/>
      <c r="H75" s="12" t="n"/>
      <c r="I75" s="12" t="n"/>
      <c r="J75" s="12" t="n"/>
    </row>
    <row r="76" ht="36" customHeight="1">
      <c r="A76" s="70" t="n">
        <v>69</v>
      </c>
      <c r="B76" s="16" t="n"/>
      <c r="C76" s="16" t="n"/>
      <c r="D76" s="16" t="n"/>
      <c r="E76" s="16" t="n"/>
      <c r="F76" s="16" t="n"/>
      <c r="G76" s="16" t="n"/>
      <c r="H76" s="16" t="n"/>
      <c r="I76" s="16" t="n"/>
      <c r="J76" s="16" t="n"/>
    </row>
    <row r="77" ht="36" customHeight="1">
      <c r="A77" s="52" t="n">
        <v>70</v>
      </c>
      <c r="B77" s="12" t="n"/>
      <c r="C77" s="12" t="n"/>
      <c r="D77" s="12" t="n"/>
      <c r="E77" s="12" t="n"/>
      <c r="F77" s="12" t="n"/>
      <c r="G77" s="12" t="n"/>
      <c r="H77" s="12" t="n"/>
      <c r="I77" s="12" t="n"/>
      <c r="J77" s="12" t="n"/>
    </row>
    <row r="78" ht="36" customHeight="1">
      <c r="A78" s="70" t="n">
        <v>71</v>
      </c>
      <c r="B78" s="16" t="n"/>
      <c r="C78" s="16" t="n"/>
      <c r="D78" s="16" t="n"/>
      <c r="E78" s="16" t="n"/>
      <c r="F78" s="16" t="n"/>
      <c r="G78" s="16" t="n"/>
      <c r="H78" s="16" t="n"/>
      <c r="I78" s="16" t="n"/>
      <c r="J78" s="16" t="n"/>
    </row>
    <row r="79" ht="36" customHeight="1">
      <c r="A79" s="52" t="n">
        <v>72</v>
      </c>
      <c r="B79" s="12" t="n"/>
      <c r="C79" s="12" t="n"/>
      <c r="D79" s="12" t="n"/>
      <c r="E79" s="12" t="n"/>
      <c r="F79" s="12" t="n"/>
      <c r="G79" s="12" t="n"/>
      <c r="H79" s="12" t="n"/>
      <c r="I79" s="12" t="n"/>
      <c r="J79" s="12" t="n"/>
    </row>
    <row r="80" ht="36" customHeight="1">
      <c r="A80" s="70" t="n">
        <v>73</v>
      </c>
      <c r="B80" s="16" t="n"/>
      <c r="C80" s="16" t="n"/>
      <c r="D80" s="16" t="n"/>
      <c r="E80" s="16" t="n"/>
      <c r="F80" s="16" t="n"/>
      <c r="G80" s="16" t="n"/>
      <c r="H80" s="16" t="n"/>
      <c r="I80" s="16" t="n"/>
      <c r="J80" s="16" t="n"/>
    </row>
    <row r="81" ht="36" customHeight="1">
      <c r="A81" s="52" t="n">
        <v>74</v>
      </c>
      <c r="B81" s="12" t="n"/>
      <c r="C81" s="12" t="n"/>
      <c r="D81" s="12" t="n"/>
      <c r="E81" s="12" t="n"/>
      <c r="F81" s="12" t="n"/>
      <c r="G81" s="12" t="n"/>
      <c r="H81" s="12" t="n"/>
      <c r="I81" s="12" t="n"/>
      <c r="J81" s="12" t="n"/>
    </row>
    <row r="82" ht="36" customHeight="1">
      <c r="A82" s="70" t="n">
        <v>75</v>
      </c>
      <c r="B82" s="16" t="n"/>
      <c r="C82" s="16" t="n"/>
      <c r="D82" s="16" t="n"/>
      <c r="E82" s="16" t="n"/>
      <c r="F82" s="16" t="n"/>
      <c r="G82" s="16" t="n"/>
      <c r="H82" s="16" t="n"/>
      <c r="I82" s="16" t="n"/>
      <c r="J82" s="16" t="n"/>
    </row>
    <row r="83" ht="36" customHeight="1">
      <c r="A83" s="52" t="n">
        <v>76</v>
      </c>
      <c r="B83" s="12" t="n"/>
      <c r="C83" s="12" t="n"/>
      <c r="D83" s="12" t="n"/>
      <c r="E83" s="12" t="n"/>
      <c r="F83" s="12" t="n"/>
      <c r="G83" s="12" t="n"/>
      <c r="H83" s="12" t="n"/>
      <c r="I83" s="12" t="n"/>
      <c r="J83" s="12" t="n"/>
    </row>
    <row r="84" ht="36" customHeight="1">
      <c r="A84" s="70" t="n">
        <v>77</v>
      </c>
      <c r="B84" s="16" t="n"/>
      <c r="C84" s="16" t="n"/>
      <c r="D84" s="16" t="n"/>
      <c r="E84" s="16" t="n"/>
      <c r="F84" s="16" t="n"/>
      <c r="G84" s="16" t="n"/>
      <c r="H84" s="16" t="n"/>
      <c r="I84" s="16" t="n"/>
      <c r="J84" s="16" t="n"/>
    </row>
    <row r="85" ht="36" customHeight="1">
      <c r="A85" s="52" t="n">
        <v>78</v>
      </c>
      <c r="B85" s="12" t="n"/>
      <c r="C85" s="12" t="n"/>
      <c r="D85" s="12" t="n"/>
      <c r="E85" s="12" t="n"/>
      <c r="F85" s="12" t="n"/>
      <c r="G85" s="12" t="n"/>
      <c r="H85" s="12" t="n"/>
      <c r="I85" s="12" t="n"/>
      <c r="J85" s="12" t="n"/>
    </row>
    <row r="86" ht="36" customHeight="1">
      <c r="A86" s="70" t="n">
        <v>79</v>
      </c>
      <c r="B86" s="16" t="n"/>
      <c r="C86" s="16" t="n"/>
      <c r="D86" s="16" t="n"/>
      <c r="E86" s="16" t="n"/>
      <c r="F86" s="16" t="n"/>
      <c r="G86" s="16" t="n"/>
      <c r="H86" s="16" t="n"/>
      <c r="I86" s="16" t="n"/>
      <c r="J86" s="16" t="n"/>
    </row>
    <row r="87" ht="36" customHeight="1">
      <c r="A87" s="52" t="n">
        <v>80</v>
      </c>
      <c r="B87" s="12" t="n"/>
      <c r="C87" s="12" t="n"/>
      <c r="D87" s="12" t="n"/>
      <c r="E87" s="12" t="n"/>
      <c r="F87" s="12" t="n"/>
      <c r="G87" s="12" t="n"/>
      <c r="H87" s="12" t="n"/>
      <c r="I87" s="12" t="n"/>
      <c r="J87" s="12" t="n"/>
    </row>
    <row r="88" ht="36" customHeight="1">
      <c r="A88" s="70" t="n">
        <v>81</v>
      </c>
      <c r="B88" s="16" t="n"/>
      <c r="C88" s="16" t="n"/>
      <c r="D88" s="16" t="n"/>
      <c r="E88" s="16" t="n"/>
      <c r="F88" s="16" t="n"/>
      <c r="G88" s="16" t="n"/>
      <c r="H88" s="16" t="n"/>
      <c r="I88" s="16" t="n"/>
      <c r="J88" s="16" t="n"/>
    </row>
    <row r="89" ht="36" customHeight="1">
      <c r="A89" s="52" t="n">
        <v>82</v>
      </c>
      <c r="B89" s="12" t="n"/>
      <c r="C89" s="12" t="n"/>
      <c r="D89" s="12" t="n"/>
      <c r="E89" s="12" t="n"/>
      <c r="F89" s="12" t="n"/>
      <c r="G89" s="12" t="n"/>
      <c r="H89" s="12" t="n"/>
      <c r="I89" s="12" t="n"/>
      <c r="J89" s="12" t="n"/>
    </row>
    <row r="90" ht="36" customHeight="1">
      <c r="A90" s="70" t="n">
        <v>83</v>
      </c>
      <c r="B90" s="16" t="n"/>
      <c r="C90" s="16" t="n"/>
      <c r="D90" s="16" t="n"/>
      <c r="E90" s="16" t="n"/>
      <c r="F90" s="16" t="n"/>
      <c r="G90" s="16" t="n"/>
      <c r="H90" s="16" t="n"/>
      <c r="I90" s="16" t="n"/>
      <c r="J90" s="16" t="n"/>
    </row>
    <row r="91" ht="36" customHeight="1">
      <c r="A91" s="52" t="n">
        <v>84</v>
      </c>
      <c r="B91" s="12" t="n"/>
      <c r="C91" s="12" t="n"/>
      <c r="D91" s="12" t="n"/>
      <c r="E91" s="12" t="n"/>
      <c r="F91" s="12" t="n"/>
      <c r="G91" s="12" t="n"/>
      <c r="H91" s="12" t="n"/>
      <c r="I91" s="12" t="n"/>
      <c r="J91" s="12" t="n"/>
    </row>
    <row r="92" ht="36" customHeight="1">
      <c r="A92" s="70" t="n">
        <v>85</v>
      </c>
      <c r="B92" s="16" t="n"/>
      <c r="C92" s="16" t="n"/>
      <c r="D92" s="16" t="n"/>
      <c r="E92" s="16" t="n"/>
      <c r="F92" s="16" t="n"/>
      <c r="G92" s="16" t="n"/>
      <c r="H92" s="16" t="n"/>
      <c r="I92" s="16" t="n"/>
      <c r="J92" s="16" t="n"/>
    </row>
    <row r="93" ht="36" customHeight="1">
      <c r="A93" s="52" t="n">
        <v>86</v>
      </c>
      <c r="B93" s="12" t="n"/>
      <c r="C93" s="12" t="n"/>
      <c r="D93" s="12" t="n"/>
      <c r="E93" s="12" t="n"/>
      <c r="F93" s="12" t="n"/>
      <c r="G93" s="12" t="n"/>
      <c r="H93" s="12" t="n"/>
      <c r="I93" s="12" t="n"/>
      <c r="J93" s="12" t="n"/>
    </row>
    <row r="94" ht="36" customHeight="1">
      <c r="A94" s="70" t="n">
        <v>87</v>
      </c>
      <c r="B94" s="16" t="n"/>
      <c r="C94" s="16" t="n"/>
      <c r="D94" s="16" t="n"/>
      <c r="E94" s="16" t="n"/>
      <c r="F94" s="16" t="n"/>
      <c r="G94" s="16" t="n"/>
      <c r="H94" s="16" t="n"/>
      <c r="I94" s="16" t="n"/>
      <c r="J94" s="16" t="n"/>
    </row>
    <row r="95" ht="36" customHeight="1">
      <c r="A95" s="52" t="n">
        <v>88</v>
      </c>
      <c r="B95" s="12" t="n"/>
      <c r="C95" s="12" t="n"/>
      <c r="D95" s="12" t="n"/>
      <c r="E95" s="12" t="n"/>
      <c r="F95" s="12" t="n"/>
      <c r="G95" s="12" t="n"/>
      <c r="H95" s="12" t="n"/>
      <c r="I95" s="12" t="n"/>
      <c r="J95" s="12" t="n"/>
    </row>
    <row r="96" ht="36" customHeight="1">
      <c r="A96" s="70" t="n">
        <v>89</v>
      </c>
      <c r="B96" s="16" t="n"/>
      <c r="C96" s="16" t="n"/>
      <c r="D96" s="16" t="n"/>
      <c r="E96" s="16" t="n"/>
      <c r="F96" s="16" t="n"/>
      <c r="G96" s="16" t="n"/>
      <c r="H96" s="16" t="n"/>
      <c r="I96" s="16" t="n"/>
      <c r="J96" s="16" t="n"/>
    </row>
    <row r="97" ht="36" customHeight="1">
      <c r="A97" s="52" t="n">
        <v>90</v>
      </c>
      <c r="B97" s="12" t="n"/>
      <c r="C97" s="12" t="n"/>
      <c r="D97" s="12" t="n"/>
      <c r="E97" s="12" t="n"/>
      <c r="F97" s="12" t="n"/>
      <c r="G97" s="12" t="n"/>
      <c r="H97" s="12" t="n"/>
      <c r="I97" s="12" t="n"/>
      <c r="J97" s="12" t="n"/>
    </row>
    <row r="98" ht="36" customHeight="1">
      <c r="A98" s="70" t="n">
        <v>91</v>
      </c>
      <c r="B98" s="16" t="n"/>
      <c r="C98" s="16" t="n"/>
      <c r="D98" s="16" t="n"/>
      <c r="E98" s="16" t="n"/>
      <c r="F98" s="16" t="n"/>
      <c r="G98" s="16" t="n"/>
      <c r="H98" s="16" t="n"/>
      <c r="I98" s="16" t="n"/>
      <c r="J98" s="16" t="n"/>
    </row>
    <row r="99" ht="36" customHeight="1">
      <c r="A99" s="52" t="n">
        <v>92</v>
      </c>
      <c r="B99" s="12" t="n"/>
      <c r="C99" s="12" t="n"/>
      <c r="D99" s="12" t="n"/>
      <c r="E99" s="12" t="n"/>
      <c r="F99" s="12" t="n"/>
      <c r="G99" s="12" t="n"/>
      <c r="H99" s="12" t="n"/>
      <c r="I99" s="12" t="n"/>
      <c r="J99" s="12" t="n"/>
    </row>
    <row r="100" ht="36" customHeight="1">
      <c r="A100" s="70" t="n">
        <v>93</v>
      </c>
      <c r="B100" s="16" t="n"/>
      <c r="C100" s="16" t="n"/>
      <c r="D100" s="16" t="n"/>
      <c r="E100" s="16" t="n"/>
      <c r="F100" s="16" t="n"/>
      <c r="G100" s="16" t="n"/>
      <c r="H100" s="16" t="n"/>
      <c r="I100" s="16" t="n"/>
      <c r="J100" s="16" t="n"/>
    </row>
    <row r="101" ht="36" customHeight="1">
      <c r="A101" s="52" t="n">
        <v>94</v>
      </c>
      <c r="B101" s="12" t="n"/>
      <c r="C101" s="12" t="n"/>
      <c r="D101" s="12" t="n"/>
      <c r="E101" s="12" t="n"/>
      <c r="F101" s="12" t="n"/>
      <c r="G101" s="12" t="n"/>
      <c r="H101" s="12" t="n"/>
      <c r="I101" s="12" t="n"/>
      <c r="J101" s="12" t="n"/>
    </row>
    <row r="102" ht="36" customHeight="1">
      <c r="A102" s="70" t="n">
        <v>95</v>
      </c>
      <c r="B102" s="16" t="n"/>
      <c r="C102" s="16" t="n"/>
      <c r="D102" s="16" t="n"/>
      <c r="E102" s="16" t="n"/>
      <c r="F102" s="16" t="n"/>
      <c r="G102" s="16" t="n"/>
      <c r="H102" s="16" t="n"/>
      <c r="I102" s="16" t="n"/>
      <c r="J102" s="16" t="n"/>
    </row>
    <row r="103" ht="36" customHeight="1">
      <c r="A103" s="52" t="n">
        <v>96</v>
      </c>
      <c r="B103" s="12" t="n"/>
      <c r="C103" s="12" t="n"/>
      <c r="D103" s="12" t="n"/>
      <c r="E103" s="12" t="n"/>
      <c r="F103" s="12" t="n"/>
      <c r="G103" s="12" t="n"/>
      <c r="H103" s="12" t="n"/>
      <c r="I103" s="12" t="n"/>
      <c r="J103" s="12" t="n"/>
    </row>
    <row r="104" ht="36" customHeight="1">
      <c r="A104" s="70" t="n">
        <v>97</v>
      </c>
      <c r="B104" s="16" t="n"/>
      <c r="C104" s="16" t="n"/>
      <c r="D104" s="16" t="n"/>
      <c r="E104" s="16" t="n"/>
      <c r="F104" s="16" t="n"/>
      <c r="G104" s="16" t="n"/>
      <c r="H104" s="16" t="n"/>
      <c r="I104" s="16" t="n"/>
      <c r="J104" s="16" t="n"/>
    </row>
    <row r="105" ht="36" customHeight="1">
      <c r="A105" s="52" t="n">
        <v>98</v>
      </c>
      <c r="B105" s="12" t="n"/>
      <c r="C105" s="12" t="n"/>
      <c r="D105" s="12" t="n"/>
      <c r="E105" s="12" t="n"/>
      <c r="F105" s="12" t="n"/>
      <c r="G105" s="12" t="n"/>
      <c r="H105" s="12" t="n"/>
      <c r="I105" s="12" t="n"/>
      <c r="J105" s="12" t="n"/>
    </row>
    <row r="106" ht="36" customHeight="1">
      <c r="A106" s="70" t="n">
        <v>99</v>
      </c>
      <c r="B106" s="16" t="n"/>
      <c r="C106" s="16" t="n"/>
      <c r="D106" s="16" t="n"/>
      <c r="E106" s="16" t="n"/>
      <c r="F106" s="16" t="n"/>
      <c r="G106" s="16" t="n"/>
      <c r="H106" s="16" t="n"/>
      <c r="I106" s="16" t="n"/>
      <c r="J106" s="16" t="n"/>
    </row>
    <row r="107" ht="36" customHeight="1">
      <c r="A107" s="52" t="n">
        <v>100</v>
      </c>
      <c r="B107" s="12" t="n"/>
      <c r="C107" s="12" t="n"/>
      <c r="D107" s="12" t="n"/>
      <c r="E107" s="12" t="n"/>
      <c r="F107" s="12" t="n"/>
      <c r="G107" s="12" t="n"/>
      <c r="H107" s="12" t="n"/>
      <c r="I107" s="12" t="n"/>
      <c r="J107" s="12" t="n"/>
    </row>
    <row r="108" ht="22" customHeight="1">
      <c r="A108" s="71" t="inlineStr">
        <is>
          <t>TOTALS</t>
        </is>
      </c>
      <c r="C108" s="72" t="inlineStr">
        <is>
          <t>Checked:</t>
        </is>
      </c>
      <c r="D108" s="73">
        <f>COUNTA(B8:B107)</f>
        <v/>
      </c>
      <c r="E108" s="72" t="inlineStr">
        <is>
          <t>Active:</t>
        </is>
      </c>
      <c r="F108" s="73">
        <f>COUNTIF(H8:H107,"✅ Active")</f>
        <v/>
      </c>
      <c r="G108" s="72" t="inlineStr">
        <is>
          <t>Issues:</t>
        </is>
      </c>
      <c r="H108" s="73">
        <f>COUNTIFS(H8:H107,"&lt;&gt;"&amp;"✅ Active",H8:H107,"&lt;&gt;"&amp;"")</f>
        <v/>
      </c>
      <c r="I108" s="72" t="inlineStr">
        <is>
          <t>Need Action:</t>
        </is>
      </c>
      <c r="J108" s="73">
        <f>COUNTIF(J8:J107,"&lt;&gt;"&amp;"")</f>
        <v/>
      </c>
    </row>
    <row r="109" ht="10" customHeight="1"/>
    <row r="110" ht="20" customHeight="1">
      <c r="A110" s="36" t="inlineStr">
        <is>
          <t>━━  REPORT ACKNOWLEDGEMENT &amp; SIGN-OFF  ━━</t>
        </is>
      </c>
    </row>
    <row r="111" ht="20" customHeight="1">
      <c r="A111" s="37" t="inlineStr">
        <is>
          <t>🔧  TECHNICIAN / ENGINEER</t>
        </is>
      </c>
      <c r="F111" s="38" t="inlineStr">
        <is>
          <t>✅  CLIENT / ADMIN COUNTER-SIGNATURE</t>
        </is>
      </c>
    </row>
    <row r="112" ht="50" customHeight="1">
      <c r="A112" s="39" t="inlineStr">
        <is>
          <t>Name:      ___________________________
Signature: ___________________________
Date:      _______________</t>
        </is>
      </c>
      <c r="B112" s="112" t="n"/>
      <c r="C112" s="112" t="n"/>
      <c r="D112" s="112" t="n"/>
      <c r="E112" s="113" t="n"/>
      <c r="F112" s="40" t="inlineStr">
        <is>
          <t>Name:        ___________________________
Designation: ___________________________
Signature:   ___________________________
Date:        _______________</t>
        </is>
      </c>
      <c r="G112" s="112" t="n"/>
      <c r="H112" s="112" t="n"/>
      <c r="I112" s="112" t="n"/>
      <c r="J112" s="113" t="n"/>
    </row>
    <row r="113" ht="50" customHeight="1"/>
    <row r="114" ht="20" customHeight="1">
      <c r="A114" s="41" t="inlineStr">
        <is>
          <t>DECLARATION</t>
        </is>
      </c>
    </row>
    <row r="115" ht="30" customHeight="1">
      <c r="A115" s="42" t="inlineStr">
        <is>
          <t>I/We confirm that issues, actions and findings documented in this report are accurate and reflect the work carried out during this visit. Outstanding items have been communicated. Both parties agree to the contents of this report.</t>
        </is>
      </c>
      <c r="B115" s="112" t="n"/>
      <c r="C115" s="112" t="n"/>
      <c r="D115" s="112" t="n"/>
      <c r="E115" s="112" t="n"/>
      <c r="F115" s="112" t="n"/>
      <c r="G115" s="112" t="n"/>
      <c r="H115" s="112" t="n"/>
      <c r="I115" s="112" t="n"/>
      <c r="J115" s="113" t="n"/>
    </row>
  </sheetData>
  <mergeCells count="13">
    <mergeCell ref="A1:J1"/>
    <mergeCell ref="A115:J115"/>
    <mergeCell ref="A5:J5"/>
    <mergeCell ref="A6:J6"/>
    <mergeCell ref="A108:B108"/>
    <mergeCell ref="A110:J110"/>
    <mergeCell ref="A112:E112"/>
    <mergeCell ref="F112:J112"/>
    <mergeCell ref="A114:J114"/>
    <mergeCell ref="A4:J4"/>
    <mergeCell ref="A111:E111"/>
    <mergeCell ref="A2:J2"/>
    <mergeCell ref="F111:J111"/>
  </mergeCells>
  <dataValidations count="4">
    <dataValidation sqref="D8:D107" showDropDown="0" showInputMessage="0" showErrorMessage="0" allowBlank="1" type="list">
      <formula1>'⚙ Config'!$A$5:$A$44</formula1>
    </dataValidation>
    <dataValidation sqref="E8:E107" showDropDown="0" showInputMessage="0" showErrorMessage="0" allowBlank="1" type="list">
      <formula1>'⚙ Config'!$C$5:$C$44</formula1>
    </dataValidation>
    <dataValidation sqref="H8:H107" showDropDown="0" showInputMessage="0" showErrorMessage="0" allowBlank="1" type="list">
      <formula1>'⚙ Config'!$K$5:$K$10</formula1>
    </dataValidation>
    <dataValidation sqref="E8:E107" showDropDown="0" showInputMessage="0" showErrorMessage="0" allowBlank="1" type="list">
      <formula1>'⚙ Config'!$M$5:$M$11</formula1>
    </dataValidation>
  </dataValidations>
  <pageMargins left="0.75" right="0.75" top="1" bottom="1" header="0.5" footer="0.5"/>
  <pageSetup orientation="landscape" paperSize="9" fitToHeight="0" fitToWidth="1"/>
</worksheet>
</file>

<file path=xl/worksheets/sheet5.xml><?xml version="1.0" encoding="utf-8"?>
<worksheet xmlns="http://schemas.openxmlformats.org/spreadsheetml/2006/main">
  <sheetPr>
    <tabColor rgb="0070AD47"/>
    <outlinePr summaryBelow="1" summaryRight="1"/>
    <pageSetUpPr/>
  </sheetPr>
  <dimension ref="A1:M104"/>
  <sheetViews>
    <sheetView showGridLines="0" workbookViewId="0">
      <pane ySplit="4" topLeftCell="A5" activePane="bottomLeft" state="frozen"/>
      <selection pane="bottomLeft" activeCell="A1" sqref="A1"/>
    </sheetView>
  </sheetViews>
  <sheetFormatPr baseColWidth="8" defaultRowHeight="15"/>
  <cols>
    <col width="4" customWidth="1" min="1" max="1"/>
    <col width="20" customWidth="1" min="2" max="2"/>
    <col width="16" customWidth="1" min="3" max="3"/>
    <col width="18" customWidth="1" min="4" max="4"/>
    <col width="18" customWidth="1" min="5" max="5"/>
    <col width="18" customWidth="1" min="6" max="6"/>
    <col width="16" customWidth="1" min="7" max="7"/>
    <col width="12" customWidth="1" min="8" max="8"/>
    <col width="14" customWidth="1" min="9" max="9"/>
    <col width="13" customWidth="1" min="10" max="10"/>
    <col width="13" customWidth="1" min="11" max="11"/>
    <col width="16" customWidth="1" min="12" max="12"/>
    <col width="24" customWidth="1" min="13" max="13"/>
  </cols>
  <sheetData>
    <row r="1" ht="38" customHeight="1">
      <c r="A1" s="74" t="inlineStr">
        <is>
          <t>🖥  EQUIPMENT REGISTER — ASSET INVENTORY</t>
        </is>
      </c>
    </row>
    <row r="2" ht="18" customHeight="1">
      <c r="A2" s="75" t="inlineStr">
        <is>
          <t>Log all IT assets. Use 'OTHER (specify in notes)' for unlisted equipment and describe in the Notes column.</t>
        </is>
      </c>
    </row>
    <row r="3" ht="6" customHeight="1"/>
    <row r="4" ht="34" customHeight="1">
      <c r="A4" s="4" t="inlineStr">
        <is>
          <t>#</t>
        </is>
      </c>
      <c r="B4" s="4" t="inlineStr">
        <is>
          <t>Department</t>
        </is>
      </c>
      <c r="C4" s="4" t="inlineStr">
        <is>
          <t>Location/Room</t>
        </is>
      </c>
      <c r="D4" s="4" t="inlineStr">
        <is>
          <t>Item Type</t>
        </is>
      </c>
      <c r="E4" s="4" t="inlineStr">
        <is>
          <t>Custom Item
(if OTHER)</t>
        </is>
      </c>
      <c r="F4" s="4" t="inlineStr">
        <is>
          <t>Make / Model</t>
        </is>
      </c>
      <c r="G4" s="4" t="inlineStr">
        <is>
          <t>Serial Number</t>
        </is>
      </c>
      <c r="H4" s="4" t="inlineStr">
        <is>
          <t>Asset Tag</t>
        </is>
      </c>
      <c r="I4" s="4" t="inlineStr">
        <is>
          <t>Condition</t>
        </is>
      </c>
      <c r="J4" s="4" t="inlineStr">
        <is>
          <t>Purchase Date</t>
        </is>
      </c>
      <c r="K4" s="4" t="inlineStr">
        <is>
          <t>Warranty Exp.</t>
        </is>
      </c>
      <c r="L4" s="4" t="inlineStr">
        <is>
          <t>Assigned To</t>
        </is>
      </c>
      <c r="M4" s="4" t="inlineStr">
        <is>
          <t>Notes</t>
        </is>
      </c>
    </row>
    <row r="5" ht="26" customHeight="1">
      <c r="A5" s="52" t="n">
        <v>1</v>
      </c>
      <c r="B5" s="12" t="n"/>
      <c r="C5" s="12" t="n"/>
      <c r="D5" s="12" t="n"/>
      <c r="E5" s="12" t="n"/>
      <c r="F5" s="12" t="n"/>
      <c r="G5" s="12" t="n"/>
      <c r="H5" s="12" t="n"/>
      <c r="I5" s="12" t="n"/>
      <c r="J5" s="55" t="n"/>
      <c r="K5" s="55" t="n"/>
      <c r="L5" s="12" t="n"/>
      <c r="M5" s="12" t="n"/>
    </row>
    <row r="6" ht="26" customHeight="1">
      <c r="A6" s="76" t="n">
        <v>2</v>
      </c>
      <c r="B6" s="15" t="n"/>
      <c r="C6" s="15" t="n"/>
      <c r="D6" s="15" t="n"/>
      <c r="E6" s="15" t="n"/>
      <c r="F6" s="15" t="n"/>
      <c r="G6" s="15" t="n"/>
      <c r="H6" s="15" t="n"/>
      <c r="I6" s="15" t="n"/>
      <c r="J6" s="77" t="n"/>
      <c r="K6" s="77" t="n"/>
      <c r="L6" s="15" t="n"/>
      <c r="M6" s="15" t="n"/>
    </row>
    <row r="7" ht="26" customHeight="1">
      <c r="A7" s="52" t="n">
        <v>3</v>
      </c>
      <c r="B7" s="12" t="n"/>
      <c r="C7" s="12" t="n"/>
      <c r="D7" s="12" t="n"/>
      <c r="E7" s="12" t="n"/>
      <c r="F7" s="12" t="n"/>
      <c r="G7" s="12" t="n"/>
      <c r="H7" s="12" t="n"/>
      <c r="I7" s="12" t="n"/>
      <c r="J7" s="55" t="n"/>
      <c r="K7" s="55" t="n"/>
      <c r="L7" s="12" t="n"/>
      <c r="M7" s="12" t="n"/>
    </row>
    <row r="8" ht="26" customHeight="1">
      <c r="A8" s="76" t="n">
        <v>4</v>
      </c>
      <c r="B8" s="15" t="n"/>
      <c r="C8" s="15" t="n"/>
      <c r="D8" s="15" t="n"/>
      <c r="E8" s="15" t="n"/>
      <c r="F8" s="15" t="n"/>
      <c r="G8" s="15" t="n"/>
      <c r="H8" s="15" t="n"/>
      <c r="I8" s="15" t="n"/>
      <c r="J8" s="77" t="n"/>
      <c r="K8" s="77" t="n"/>
      <c r="L8" s="15" t="n"/>
      <c r="M8" s="15" t="n"/>
    </row>
    <row r="9" ht="26" customHeight="1">
      <c r="A9" s="52" t="n">
        <v>5</v>
      </c>
      <c r="B9" s="12" t="n"/>
      <c r="C9" s="12" t="n"/>
      <c r="D9" s="12" t="n"/>
      <c r="E9" s="12" t="n"/>
      <c r="F9" s="12" t="n"/>
      <c r="G9" s="12" t="n"/>
      <c r="H9" s="12" t="n"/>
      <c r="I9" s="12" t="n"/>
      <c r="J9" s="55" t="n"/>
      <c r="K9" s="55" t="n"/>
      <c r="L9" s="12" t="n"/>
      <c r="M9" s="12" t="n"/>
    </row>
    <row r="10" ht="26" customHeight="1">
      <c r="A10" s="76" t="n">
        <v>6</v>
      </c>
      <c r="B10" s="15" t="n"/>
      <c r="C10" s="15" t="n"/>
      <c r="D10" s="15" t="n"/>
      <c r="E10" s="15" t="n"/>
      <c r="F10" s="15" t="n"/>
      <c r="G10" s="15" t="n"/>
      <c r="H10" s="15" t="n"/>
      <c r="I10" s="15" t="n"/>
      <c r="J10" s="77" t="n"/>
      <c r="K10" s="77" t="n"/>
      <c r="L10" s="15" t="n"/>
      <c r="M10" s="15" t="n"/>
    </row>
    <row r="11" ht="26" customHeight="1">
      <c r="A11" s="52" t="n">
        <v>7</v>
      </c>
      <c r="B11" s="12" t="n"/>
      <c r="C11" s="12" t="n"/>
      <c r="D11" s="12" t="n"/>
      <c r="E11" s="12" t="n"/>
      <c r="F11" s="12" t="n"/>
      <c r="G11" s="12" t="n"/>
      <c r="H11" s="12" t="n"/>
      <c r="I11" s="12" t="n"/>
      <c r="J11" s="55" t="n"/>
      <c r="K11" s="55" t="n"/>
      <c r="L11" s="12" t="n"/>
      <c r="M11" s="12" t="n"/>
    </row>
    <row r="12" ht="26" customHeight="1">
      <c r="A12" s="76" t="n">
        <v>8</v>
      </c>
      <c r="B12" s="15" t="n"/>
      <c r="C12" s="15" t="n"/>
      <c r="D12" s="15" t="n"/>
      <c r="E12" s="15" t="n"/>
      <c r="F12" s="15" t="n"/>
      <c r="G12" s="15" t="n"/>
      <c r="H12" s="15" t="n"/>
      <c r="I12" s="15" t="n"/>
      <c r="J12" s="77" t="n"/>
      <c r="K12" s="77" t="n"/>
      <c r="L12" s="15" t="n"/>
      <c r="M12" s="15" t="n"/>
    </row>
    <row r="13" ht="26" customHeight="1">
      <c r="A13" s="52" t="n">
        <v>9</v>
      </c>
      <c r="B13" s="12" t="n"/>
      <c r="C13" s="12" t="n"/>
      <c r="D13" s="12" t="n"/>
      <c r="E13" s="12" t="n"/>
      <c r="F13" s="12" t="n"/>
      <c r="G13" s="12" t="n"/>
      <c r="H13" s="12" t="n"/>
      <c r="I13" s="12" t="n"/>
      <c r="J13" s="55" t="n"/>
      <c r="K13" s="55" t="n"/>
      <c r="L13" s="12" t="n"/>
      <c r="M13" s="12" t="n"/>
    </row>
    <row r="14" ht="26" customHeight="1">
      <c r="A14" s="76" t="n">
        <v>10</v>
      </c>
      <c r="B14" s="15" t="n"/>
      <c r="C14" s="15" t="n"/>
      <c r="D14" s="15" t="n"/>
      <c r="E14" s="15" t="n"/>
      <c r="F14" s="15" t="n"/>
      <c r="G14" s="15" t="n"/>
      <c r="H14" s="15" t="n"/>
      <c r="I14" s="15" t="n"/>
      <c r="J14" s="77" t="n"/>
      <c r="K14" s="77" t="n"/>
      <c r="L14" s="15" t="n"/>
      <c r="M14" s="15" t="n"/>
    </row>
    <row r="15" ht="26" customHeight="1">
      <c r="A15" s="52" t="n">
        <v>11</v>
      </c>
      <c r="B15" s="12" t="n"/>
      <c r="C15" s="12" t="n"/>
      <c r="D15" s="12" t="n"/>
      <c r="E15" s="12" t="n"/>
      <c r="F15" s="12" t="n"/>
      <c r="G15" s="12" t="n"/>
      <c r="H15" s="12" t="n"/>
      <c r="I15" s="12" t="n"/>
      <c r="J15" s="55" t="n"/>
      <c r="K15" s="55" t="n"/>
      <c r="L15" s="12" t="n"/>
      <c r="M15" s="12" t="n"/>
    </row>
    <row r="16" ht="26" customHeight="1">
      <c r="A16" s="76" t="n">
        <v>12</v>
      </c>
      <c r="B16" s="15" t="n"/>
      <c r="C16" s="15" t="n"/>
      <c r="D16" s="15" t="n"/>
      <c r="E16" s="15" t="n"/>
      <c r="F16" s="15" t="n"/>
      <c r="G16" s="15" t="n"/>
      <c r="H16" s="15" t="n"/>
      <c r="I16" s="15" t="n"/>
      <c r="J16" s="77" t="n"/>
      <c r="K16" s="77" t="n"/>
      <c r="L16" s="15" t="n"/>
      <c r="M16" s="15" t="n"/>
    </row>
    <row r="17" ht="26" customHeight="1">
      <c r="A17" s="52" t="n">
        <v>13</v>
      </c>
      <c r="B17" s="12" t="n"/>
      <c r="C17" s="12" t="n"/>
      <c r="D17" s="12" t="n"/>
      <c r="E17" s="12" t="n"/>
      <c r="F17" s="12" t="n"/>
      <c r="G17" s="12" t="n"/>
      <c r="H17" s="12" t="n"/>
      <c r="I17" s="12" t="n"/>
      <c r="J17" s="55" t="n"/>
      <c r="K17" s="55" t="n"/>
      <c r="L17" s="12" t="n"/>
      <c r="M17" s="12" t="n"/>
    </row>
    <row r="18" ht="26" customHeight="1">
      <c r="A18" s="76" t="n">
        <v>14</v>
      </c>
      <c r="B18" s="15" t="n"/>
      <c r="C18" s="15" t="n"/>
      <c r="D18" s="15" t="n"/>
      <c r="E18" s="15" t="n"/>
      <c r="F18" s="15" t="n"/>
      <c r="G18" s="15" t="n"/>
      <c r="H18" s="15" t="n"/>
      <c r="I18" s="15" t="n"/>
      <c r="J18" s="77" t="n"/>
      <c r="K18" s="77" t="n"/>
      <c r="L18" s="15" t="n"/>
      <c r="M18" s="15" t="n"/>
    </row>
    <row r="19" ht="26" customHeight="1">
      <c r="A19" s="52" t="n">
        <v>15</v>
      </c>
      <c r="B19" s="12" t="n"/>
      <c r="C19" s="12" t="n"/>
      <c r="D19" s="12" t="n"/>
      <c r="E19" s="12" t="n"/>
      <c r="F19" s="12" t="n"/>
      <c r="G19" s="12" t="n"/>
      <c r="H19" s="12" t="n"/>
      <c r="I19" s="12" t="n"/>
      <c r="J19" s="55" t="n"/>
      <c r="K19" s="55" t="n"/>
      <c r="L19" s="12" t="n"/>
      <c r="M19" s="12" t="n"/>
    </row>
    <row r="20" ht="26" customHeight="1">
      <c r="A20" s="76" t="n">
        <v>16</v>
      </c>
      <c r="B20" s="15" t="n"/>
      <c r="C20" s="15" t="n"/>
      <c r="D20" s="15" t="n"/>
      <c r="E20" s="15" t="n"/>
      <c r="F20" s="15" t="n"/>
      <c r="G20" s="15" t="n"/>
      <c r="H20" s="15" t="n"/>
      <c r="I20" s="15" t="n"/>
      <c r="J20" s="77" t="n"/>
      <c r="K20" s="77" t="n"/>
      <c r="L20" s="15" t="n"/>
      <c r="M20" s="15" t="n"/>
    </row>
    <row r="21" ht="26" customHeight="1">
      <c r="A21" s="52" t="n">
        <v>17</v>
      </c>
      <c r="B21" s="12" t="n"/>
      <c r="C21" s="12" t="n"/>
      <c r="D21" s="12" t="n"/>
      <c r="E21" s="12" t="n"/>
      <c r="F21" s="12" t="n"/>
      <c r="G21" s="12" t="n"/>
      <c r="H21" s="12" t="n"/>
      <c r="I21" s="12" t="n"/>
      <c r="J21" s="55" t="n"/>
      <c r="K21" s="55" t="n"/>
      <c r="L21" s="12" t="n"/>
      <c r="M21" s="12" t="n"/>
    </row>
    <row r="22" ht="26" customHeight="1">
      <c r="A22" s="76" t="n">
        <v>18</v>
      </c>
      <c r="B22" s="15" t="n"/>
      <c r="C22" s="15" t="n"/>
      <c r="D22" s="15" t="n"/>
      <c r="E22" s="15" t="n"/>
      <c r="F22" s="15" t="n"/>
      <c r="G22" s="15" t="n"/>
      <c r="H22" s="15" t="n"/>
      <c r="I22" s="15" t="n"/>
      <c r="J22" s="77" t="n"/>
      <c r="K22" s="77" t="n"/>
      <c r="L22" s="15" t="n"/>
      <c r="M22" s="15" t="n"/>
    </row>
    <row r="23" ht="26" customHeight="1">
      <c r="A23" s="52" t="n">
        <v>19</v>
      </c>
      <c r="B23" s="12" t="n"/>
      <c r="C23" s="12" t="n"/>
      <c r="D23" s="12" t="n"/>
      <c r="E23" s="12" t="n"/>
      <c r="F23" s="12" t="n"/>
      <c r="G23" s="12" t="n"/>
      <c r="H23" s="12" t="n"/>
      <c r="I23" s="12" t="n"/>
      <c r="J23" s="55" t="n"/>
      <c r="K23" s="55" t="n"/>
      <c r="L23" s="12" t="n"/>
      <c r="M23" s="12" t="n"/>
    </row>
    <row r="24" ht="26" customHeight="1">
      <c r="A24" s="76" t="n">
        <v>20</v>
      </c>
      <c r="B24" s="15" t="n"/>
      <c r="C24" s="15" t="n"/>
      <c r="D24" s="15" t="n"/>
      <c r="E24" s="15" t="n"/>
      <c r="F24" s="15" t="n"/>
      <c r="G24" s="15" t="n"/>
      <c r="H24" s="15" t="n"/>
      <c r="I24" s="15" t="n"/>
      <c r="J24" s="77" t="n"/>
      <c r="K24" s="77" t="n"/>
      <c r="L24" s="15" t="n"/>
      <c r="M24" s="15" t="n"/>
    </row>
    <row r="25" ht="26" customHeight="1">
      <c r="A25" s="52" t="n">
        <v>21</v>
      </c>
      <c r="B25" s="12" t="n"/>
      <c r="C25" s="12" t="n"/>
      <c r="D25" s="12" t="n"/>
      <c r="E25" s="12" t="n"/>
      <c r="F25" s="12" t="n"/>
      <c r="G25" s="12" t="n"/>
      <c r="H25" s="12" t="n"/>
      <c r="I25" s="12" t="n"/>
      <c r="J25" s="55" t="n"/>
      <c r="K25" s="55" t="n"/>
      <c r="L25" s="12" t="n"/>
      <c r="M25" s="12" t="n"/>
    </row>
    <row r="26" ht="26" customHeight="1">
      <c r="A26" s="76" t="n">
        <v>22</v>
      </c>
      <c r="B26" s="15" t="n"/>
      <c r="C26" s="15" t="n"/>
      <c r="D26" s="15" t="n"/>
      <c r="E26" s="15" t="n"/>
      <c r="F26" s="15" t="n"/>
      <c r="G26" s="15" t="n"/>
      <c r="H26" s="15" t="n"/>
      <c r="I26" s="15" t="n"/>
      <c r="J26" s="77" t="n"/>
      <c r="K26" s="77" t="n"/>
      <c r="L26" s="15" t="n"/>
      <c r="M26" s="15" t="n"/>
    </row>
    <row r="27" ht="26" customHeight="1">
      <c r="A27" s="52" t="n">
        <v>23</v>
      </c>
      <c r="B27" s="12" t="n"/>
      <c r="C27" s="12" t="n"/>
      <c r="D27" s="12" t="n"/>
      <c r="E27" s="12" t="n"/>
      <c r="F27" s="12" t="n"/>
      <c r="G27" s="12" t="n"/>
      <c r="H27" s="12" t="n"/>
      <c r="I27" s="12" t="n"/>
      <c r="J27" s="55" t="n"/>
      <c r="K27" s="55" t="n"/>
      <c r="L27" s="12" t="n"/>
      <c r="M27" s="12" t="n"/>
    </row>
    <row r="28" ht="26" customHeight="1">
      <c r="A28" s="76" t="n">
        <v>24</v>
      </c>
      <c r="B28" s="15" t="n"/>
      <c r="C28" s="15" t="n"/>
      <c r="D28" s="15" t="n"/>
      <c r="E28" s="15" t="n"/>
      <c r="F28" s="15" t="n"/>
      <c r="G28" s="15" t="n"/>
      <c r="H28" s="15" t="n"/>
      <c r="I28" s="15" t="n"/>
      <c r="J28" s="77" t="n"/>
      <c r="K28" s="77" t="n"/>
      <c r="L28" s="15" t="n"/>
      <c r="M28" s="15" t="n"/>
    </row>
    <row r="29" ht="26" customHeight="1">
      <c r="A29" s="52" t="n">
        <v>25</v>
      </c>
      <c r="B29" s="12" t="n"/>
      <c r="C29" s="12" t="n"/>
      <c r="D29" s="12" t="n"/>
      <c r="E29" s="12" t="n"/>
      <c r="F29" s="12" t="n"/>
      <c r="G29" s="12" t="n"/>
      <c r="H29" s="12" t="n"/>
      <c r="I29" s="12" t="n"/>
      <c r="J29" s="55" t="n"/>
      <c r="K29" s="55" t="n"/>
      <c r="L29" s="12" t="n"/>
      <c r="M29" s="12" t="n"/>
    </row>
    <row r="30" ht="26" customHeight="1">
      <c r="A30" s="76" t="n">
        <v>26</v>
      </c>
      <c r="B30" s="15" t="n"/>
      <c r="C30" s="15" t="n"/>
      <c r="D30" s="15" t="n"/>
      <c r="E30" s="15" t="n"/>
      <c r="F30" s="15" t="n"/>
      <c r="G30" s="15" t="n"/>
      <c r="H30" s="15" t="n"/>
      <c r="I30" s="15" t="n"/>
      <c r="J30" s="77" t="n"/>
      <c r="K30" s="77" t="n"/>
      <c r="L30" s="15" t="n"/>
      <c r="M30" s="15" t="n"/>
    </row>
    <row r="31" ht="26" customHeight="1">
      <c r="A31" s="52" t="n">
        <v>27</v>
      </c>
      <c r="B31" s="12" t="n"/>
      <c r="C31" s="12" t="n"/>
      <c r="D31" s="12" t="n"/>
      <c r="E31" s="12" t="n"/>
      <c r="F31" s="12" t="n"/>
      <c r="G31" s="12" t="n"/>
      <c r="H31" s="12" t="n"/>
      <c r="I31" s="12" t="n"/>
      <c r="J31" s="55" t="n"/>
      <c r="K31" s="55" t="n"/>
      <c r="L31" s="12" t="n"/>
      <c r="M31" s="12" t="n"/>
    </row>
    <row r="32" ht="26" customHeight="1">
      <c r="A32" s="76" t="n">
        <v>28</v>
      </c>
      <c r="B32" s="15" t="n"/>
      <c r="C32" s="15" t="n"/>
      <c r="D32" s="15" t="n"/>
      <c r="E32" s="15" t="n"/>
      <c r="F32" s="15" t="n"/>
      <c r="G32" s="15" t="n"/>
      <c r="H32" s="15" t="n"/>
      <c r="I32" s="15" t="n"/>
      <c r="J32" s="77" t="n"/>
      <c r="K32" s="77" t="n"/>
      <c r="L32" s="15" t="n"/>
      <c r="M32" s="15" t="n"/>
    </row>
    <row r="33" ht="26" customHeight="1">
      <c r="A33" s="52" t="n">
        <v>29</v>
      </c>
      <c r="B33" s="12" t="n"/>
      <c r="C33" s="12" t="n"/>
      <c r="D33" s="12" t="n"/>
      <c r="E33" s="12" t="n"/>
      <c r="F33" s="12" t="n"/>
      <c r="G33" s="12" t="n"/>
      <c r="H33" s="12" t="n"/>
      <c r="I33" s="12" t="n"/>
      <c r="J33" s="55" t="n"/>
      <c r="K33" s="55" t="n"/>
      <c r="L33" s="12" t="n"/>
      <c r="M33" s="12" t="n"/>
    </row>
    <row r="34" ht="26" customHeight="1">
      <c r="A34" s="76" t="n">
        <v>30</v>
      </c>
      <c r="B34" s="15" t="n"/>
      <c r="C34" s="15" t="n"/>
      <c r="D34" s="15" t="n"/>
      <c r="E34" s="15" t="n"/>
      <c r="F34" s="15" t="n"/>
      <c r="G34" s="15" t="n"/>
      <c r="H34" s="15" t="n"/>
      <c r="I34" s="15" t="n"/>
      <c r="J34" s="77" t="n"/>
      <c r="K34" s="77" t="n"/>
      <c r="L34" s="15" t="n"/>
      <c r="M34" s="15" t="n"/>
    </row>
    <row r="35" ht="26" customHeight="1">
      <c r="A35" s="52" t="n">
        <v>31</v>
      </c>
      <c r="B35" s="12" t="n"/>
      <c r="C35" s="12" t="n"/>
      <c r="D35" s="12" t="n"/>
      <c r="E35" s="12" t="n"/>
      <c r="F35" s="12" t="n"/>
      <c r="G35" s="12" t="n"/>
      <c r="H35" s="12" t="n"/>
      <c r="I35" s="12" t="n"/>
      <c r="J35" s="55" t="n"/>
      <c r="K35" s="55" t="n"/>
      <c r="L35" s="12" t="n"/>
      <c r="M35" s="12" t="n"/>
    </row>
    <row r="36" ht="26" customHeight="1">
      <c r="A36" s="76" t="n">
        <v>32</v>
      </c>
      <c r="B36" s="15" t="n"/>
      <c r="C36" s="15" t="n"/>
      <c r="D36" s="15" t="n"/>
      <c r="E36" s="15" t="n"/>
      <c r="F36" s="15" t="n"/>
      <c r="G36" s="15" t="n"/>
      <c r="H36" s="15" t="n"/>
      <c r="I36" s="15" t="n"/>
      <c r="J36" s="77" t="n"/>
      <c r="K36" s="77" t="n"/>
      <c r="L36" s="15" t="n"/>
      <c r="M36" s="15" t="n"/>
    </row>
    <row r="37" ht="26" customHeight="1">
      <c r="A37" s="52" t="n">
        <v>33</v>
      </c>
      <c r="B37" s="12" t="n"/>
      <c r="C37" s="12" t="n"/>
      <c r="D37" s="12" t="n"/>
      <c r="E37" s="12" t="n"/>
      <c r="F37" s="12" t="n"/>
      <c r="G37" s="12" t="n"/>
      <c r="H37" s="12" t="n"/>
      <c r="I37" s="12" t="n"/>
      <c r="J37" s="55" t="n"/>
      <c r="K37" s="55" t="n"/>
      <c r="L37" s="12" t="n"/>
      <c r="M37" s="12" t="n"/>
    </row>
    <row r="38" ht="26" customHeight="1">
      <c r="A38" s="76" t="n">
        <v>34</v>
      </c>
      <c r="B38" s="15" t="n"/>
      <c r="C38" s="15" t="n"/>
      <c r="D38" s="15" t="n"/>
      <c r="E38" s="15" t="n"/>
      <c r="F38" s="15" t="n"/>
      <c r="G38" s="15" t="n"/>
      <c r="H38" s="15" t="n"/>
      <c r="I38" s="15" t="n"/>
      <c r="J38" s="77" t="n"/>
      <c r="K38" s="77" t="n"/>
      <c r="L38" s="15" t="n"/>
      <c r="M38" s="15" t="n"/>
    </row>
    <row r="39" ht="26" customHeight="1">
      <c r="A39" s="52" t="n">
        <v>35</v>
      </c>
      <c r="B39" s="12" t="n"/>
      <c r="C39" s="12" t="n"/>
      <c r="D39" s="12" t="n"/>
      <c r="E39" s="12" t="n"/>
      <c r="F39" s="12" t="n"/>
      <c r="G39" s="12" t="n"/>
      <c r="H39" s="12" t="n"/>
      <c r="I39" s="12" t="n"/>
      <c r="J39" s="55" t="n"/>
      <c r="K39" s="55" t="n"/>
      <c r="L39" s="12" t="n"/>
      <c r="M39" s="12" t="n"/>
    </row>
    <row r="40" ht="26" customHeight="1">
      <c r="A40" s="76" t="n">
        <v>36</v>
      </c>
      <c r="B40" s="15" t="n"/>
      <c r="C40" s="15" t="n"/>
      <c r="D40" s="15" t="n"/>
      <c r="E40" s="15" t="n"/>
      <c r="F40" s="15" t="n"/>
      <c r="G40" s="15" t="n"/>
      <c r="H40" s="15" t="n"/>
      <c r="I40" s="15" t="n"/>
      <c r="J40" s="77" t="n"/>
      <c r="K40" s="77" t="n"/>
      <c r="L40" s="15" t="n"/>
      <c r="M40" s="15" t="n"/>
    </row>
    <row r="41" ht="26" customHeight="1">
      <c r="A41" s="52" t="n">
        <v>37</v>
      </c>
      <c r="B41" s="12" t="n"/>
      <c r="C41" s="12" t="n"/>
      <c r="D41" s="12" t="n"/>
      <c r="E41" s="12" t="n"/>
      <c r="F41" s="12" t="n"/>
      <c r="G41" s="12" t="n"/>
      <c r="H41" s="12" t="n"/>
      <c r="I41" s="12" t="n"/>
      <c r="J41" s="55" t="n"/>
      <c r="K41" s="55" t="n"/>
      <c r="L41" s="12" t="n"/>
      <c r="M41" s="12" t="n"/>
    </row>
    <row r="42" ht="26" customHeight="1">
      <c r="A42" s="76" t="n">
        <v>38</v>
      </c>
      <c r="B42" s="15" t="n"/>
      <c r="C42" s="15" t="n"/>
      <c r="D42" s="15" t="n"/>
      <c r="E42" s="15" t="n"/>
      <c r="F42" s="15" t="n"/>
      <c r="G42" s="15" t="n"/>
      <c r="H42" s="15" t="n"/>
      <c r="I42" s="15" t="n"/>
      <c r="J42" s="77" t="n"/>
      <c r="K42" s="77" t="n"/>
      <c r="L42" s="15" t="n"/>
      <c r="M42" s="15" t="n"/>
    </row>
    <row r="43" ht="26" customHeight="1">
      <c r="A43" s="52" t="n">
        <v>39</v>
      </c>
      <c r="B43" s="12" t="n"/>
      <c r="C43" s="12" t="n"/>
      <c r="D43" s="12" t="n"/>
      <c r="E43" s="12" t="n"/>
      <c r="F43" s="12" t="n"/>
      <c r="G43" s="12" t="n"/>
      <c r="H43" s="12" t="n"/>
      <c r="I43" s="12" t="n"/>
      <c r="J43" s="55" t="n"/>
      <c r="K43" s="55" t="n"/>
      <c r="L43" s="12" t="n"/>
      <c r="M43" s="12" t="n"/>
    </row>
    <row r="44" ht="26" customHeight="1">
      <c r="A44" s="76" t="n">
        <v>40</v>
      </c>
      <c r="B44" s="15" t="n"/>
      <c r="C44" s="15" t="n"/>
      <c r="D44" s="15" t="n"/>
      <c r="E44" s="15" t="n"/>
      <c r="F44" s="15" t="n"/>
      <c r="G44" s="15" t="n"/>
      <c r="H44" s="15" t="n"/>
      <c r="I44" s="15" t="n"/>
      <c r="J44" s="77" t="n"/>
      <c r="K44" s="77" t="n"/>
      <c r="L44" s="15" t="n"/>
      <c r="M44" s="15" t="n"/>
    </row>
    <row r="45" ht="26" customHeight="1">
      <c r="A45" s="52" t="n">
        <v>41</v>
      </c>
      <c r="B45" s="12" t="n"/>
      <c r="C45" s="12" t="n"/>
      <c r="D45" s="12" t="n"/>
      <c r="E45" s="12" t="n"/>
      <c r="F45" s="12" t="n"/>
      <c r="G45" s="12" t="n"/>
      <c r="H45" s="12" t="n"/>
      <c r="I45" s="12" t="n"/>
      <c r="J45" s="55" t="n"/>
      <c r="K45" s="55" t="n"/>
      <c r="L45" s="12" t="n"/>
      <c r="M45" s="12" t="n"/>
    </row>
    <row r="46" ht="26" customHeight="1">
      <c r="A46" s="76" t="n">
        <v>42</v>
      </c>
      <c r="B46" s="15" t="n"/>
      <c r="C46" s="15" t="n"/>
      <c r="D46" s="15" t="n"/>
      <c r="E46" s="15" t="n"/>
      <c r="F46" s="15" t="n"/>
      <c r="G46" s="15" t="n"/>
      <c r="H46" s="15" t="n"/>
      <c r="I46" s="15" t="n"/>
      <c r="J46" s="77" t="n"/>
      <c r="K46" s="77" t="n"/>
      <c r="L46" s="15" t="n"/>
      <c r="M46" s="15" t="n"/>
    </row>
    <row r="47" ht="26" customHeight="1">
      <c r="A47" s="52" t="n">
        <v>43</v>
      </c>
      <c r="B47" s="12" t="n"/>
      <c r="C47" s="12" t="n"/>
      <c r="D47" s="12" t="n"/>
      <c r="E47" s="12" t="n"/>
      <c r="F47" s="12" t="n"/>
      <c r="G47" s="12" t="n"/>
      <c r="H47" s="12" t="n"/>
      <c r="I47" s="12" t="n"/>
      <c r="J47" s="55" t="n"/>
      <c r="K47" s="55" t="n"/>
      <c r="L47" s="12" t="n"/>
      <c r="M47" s="12" t="n"/>
    </row>
    <row r="48" ht="26" customHeight="1">
      <c r="A48" s="76" t="n">
        <v>44</v>
      </c>
      <c r="B48" s="15" t="n"/>
      <c r="C48" s="15" t="n"/>
      <c r="D48" s="15" t="n"/>
      <c r="E48" s="15" t="n"/>
      <c r="F48" s="15" t="n"/>
      <c r="G48" s="15" t="n"/>
      <c r="H48" s="15" t="n"/>
      <c r="I48" s="15" t="n"/>
      <c r="J48" s="77" t="n"/>
      <c r="K48" s="77" t="n"/>
      <c r="L48" s="15" t="n"/>
      <c r="M48" s="15" t="n"/>
    </row>
    <row r="49" ht="26" customHeight="1">
      <c r="A49" s="52" t="n">
        <v>45</v>
      </c>
      <c r="B49" s="12" t="n"/>
      <c r="C49" s="12" t="n"/>
      <c r="D49" s="12" t="n"/>
      <c r="E49" s="12" t="n"/>
      <c r="F49" s="12" t="n"/>
      <c r="G49" s="12" t="n"/>
      <c r="H49" s="12" t="n"/>
      <c r="I49" s="12" t="n"/>
      <c r="J49" s="55" t="n"/>
      <c r="K49" s="55" t="n"/>
      <c r="L49" s="12" t="n"/>
      <c r="M49" s="12" t="n"/>
    </row>
    <row r="50" ht="26" customHeight="1">
      <c r="A50" s="76" t="n">
        <v>46</v>
      </c>
      <c r="B50" s="15" t="n"/>
      <c r="C50" s="15" t="n"/>
      <c r="D50" s="15" t="n"/>
      <c r="E50" s="15" t="n"/>
      <c r="F50" s="15" t="n"/>
      <c r="G50" s="15" t="n"/>
      <c r="H50" s="15" t="n"/>
      <c r="I50" s="15" t="n"/>
      <c r="J50" s="77" t="n"/>
      <c r="K50" s="77" t="n"/>
      <c r="L50" s="15" t="n"/>
      <c r="M50" s="15" t="n"/>
    </row>
    <row r="51" ht="26" customHeight="1">
      <c r="A51" s="52" t="n">
        <v>47</v>
      </c>
      <c r="B51" s="12" t="n"/>
      <c r="C51" s="12" t="n"/>
      <c r="D51" s="12" t="n"/>
      <c r="E51" s="12" t="n"/>
      <c r="F51" s="12" t="n"/>
      <c r="G51" s="12" t="n"/>
      <c r="H51" s="12" t="n"/>
      <c r="I51" s="12" t="n"/>
      <c r="J51" s="55" t="n"/>
      <c r="K51" s="55" t="n"/>
      <c r="L51" s="12" t="n"/>
      <c r="M51" s="12" t="n"/>
    </row>
    <row r="52" ht="26" customHeight="1">
      <c r="A52" s="76" t="n">
        <v>48</v>
      </c>
      <c r="B52" s="15" t="n"/>
      <c r="C52" s="15" t="n"/>
      <c r="D52" s="15" t="n"/>
      <c r="E52" s="15" t="n"/>
      <c r="F52" s="15" t="n"/>
      <c r="G52" s="15" t="n"/>
      <c r="H52" s="15" t="n"/>
      <c r="I52" s="15" t="n"/>
      <c r="J52" s="77" t="n"/>
      <c r="K52" s="77" t="n"/>
      <c r="L52" s="15" t="n"/>
      <c r="M52" s="15" t="n"/>
    </row>
    <row r="53" ht="26" customHeight="1">
      <c r="A53" s="52" t="n">
        <v>49</v>
      </c>
      <c r="B53" s="12" t="n"/>
      <c r="C53" s="12" t="n"/>
      <c r="D53" s="12" t="n"/>
      <c r="E53" s="12" t="n"/>
      <c r="F53" s="12" t="n"/>
      <c r="G53" s="12" t="n"/>
      <c r="H53" s="12" t="n"/>
      <c r="I53" s="12" t="n"/>
      <c r="J53" s="55" t="n"/>
      <c r="K53" s="55" t="n"/>
      <c r="L53" s="12" t="n"/>
      <c r="M53" s="12" t="n"/>
    </row>
    <row r="54" ht="26" customHeight="1">
      <c r="A54" s="76" t="n">
        <v>50</v>
      </c>
      <c r="B54" s="15" t="n"/>
      <c r="C54" s="15" t="n"/>
      <c r="D54" s="15" t="n"/>
      <c r="E54" s="15" t="n"/>
      <c r="F54" s="15" t="n"/>
      <c r="G54" s="15" t="n"/>
      <c r="H54" s="15" t="n"/>
      <c r="I54" s="15" t="n"/>
      <c r="J54" s="77" t="n"/>
      <c r="K54" s="77" t="n"/>
      <c r="L54" s="15" t="n"/>
      <c r="M54" s="15" t="n"/>
    </row>
    <row r="55" ht="26" customHeight="1">
      <c r="A55" s="52" t="n">
        <v>51</v>
      </c>
      <c r="B55" s="12" t="n"/>
      <c r="C55" s="12" t="n"/>
      <c r="D55" s="12" t="n"/>
      <c r="E55" s="12" t="n"/>
      <c r="F55" s="12" t="n"/>
      <c r="G55" s="12" t="n"/>
      <c r="H55" s="12" t="n"/>
      <c r="I55" s="12" t="n"/>
      <c r="J55" s="55" t="n"/>
      <c r="K55" s="55" t="n"/>
      <c r="L55" s="12" t="n"/>
      <c r="M55" s="12" t="n"/>
    </row>
    <row r="56" ht="26" customHeight="1">
      <c r="A56" s="76" t="n">
        <v>52</v>
      </c>
      <c r="B56" s="15" t="n"/>
      <c r="C56" s="15" t="n"/>
      <c r="D56" s="15" t="n"/>
      <c r="E56" s="15" t="n"/>
      <c r="F56" s="15" t="n"/>
      <c r="G56" s="15" t="n"/>
      <c r="H56" s="15" t="n"/>
      <c r="I56" s="15" t="n"/>
      <c r="J56" s="77" t="n"/>
      <c r="K56" s="77" t="n"/>
      <c r="L56" s="15" t="n"/>
      <c r="M56" s="15" t="n"/>
    </row>
    <row r="57" ht="26" customHeight="1">
      <c r="A57" s="52" t="n">
        <v>53</v>
      </c>
      <c r="B57" s="12" t="n"/>
      <c r="C57" s="12" t="n"/>
      <c r="D57" s="12" t="n"/>
      <c r="E57" s="12" t="n"/>
      <c r="F57" s="12" t="n"/>
      <c r="G57" s="12" t="n"/>
      <c r="H57" s="12" t="n"/>
      <c r="I57" s="12" t="n"/>
      <c r="J57" s="55" t="n"/>
      <c r="K57" s="55" t="n"/>
      <c r="L57" s="12" t="n"/>
      <c r="M57" s="12" t="n"/>
    </row>
    <row r="58" ht="26" customHeight="1">
      <c r="A58" s="76" t="n">
        <v>54</v>
      </c>
      <c r="B58" s="15" t="n"/>
      <c r="C58" s="15" t="n"/>
      <c r="D58" s="15" t="n"/>
      <c r="E58" s="15" t="n"/>
      <c r="F58" s="15" t="n"/>
      <c r="G58" s="15" t="n"/>
      <c r="H58" s="15" t="n"/>
      <c r="I58" s="15" t="n"/>
      <c r="J58" s="77" t="n"/>
      <c r="K58" s="77" t="n"/>
      <c r="L58" s="15" t="n"/>
      <c r="M58" s="15" t="n"/>
    </row>
    <row r="59" ht="26" customHeight="1">
      <c r="A59" s="52" t="n">
        <v>55</v>
      </c>
      <c r="B59" s="12" t="n"/>
      <c r="C59" s="12" t="n"/>
      <c r="D59" s="12" t="n"/>
      <c r="E59" s="12" t="n"/>
      <c r="F59" s="12" t="n"/>
      <c r="G59" s="12" t="n"/>
      <c r="H59" s="12" t="n"/>
      <c r="I59" s="12" t="n"/>
      <c r="J59" s="55" t="n"/>
      <c r="K59" s="55" t="n"/>
      <c r="L59" s="12" t="n"/>
      <c r="M59" s="12" t="n"/>
    </row>
    <row r="60" ht="26" customHeight="1">
      <c r="A60" s="76" t="n">
        <v>56</v>
      </c>
      <c r="B60" s="15" t="n"/>
      <c r="C60" s="15" t="n"/>
      <c r="D60" s="15" t="n"/>
      <c r="E60" s="15" t="n"/>
      <c r="F60" s="15" t="n"/>
      <c r="G60" s="15" t="n"/>
      <c r="H60" s="15" t="n"/>
      <c r="I60" s="15" t="n"/>
      <c r="J60" s="77" t="n"/>
      <c r="K60" s="77" t="n"/>
      <c r="L60" s="15" t="n"/>
      <c r="M60" s="15" t="n"/>
    </row>
    <row r="61" ht="26" customHeight="1">
      <c r="A61" s="52" t="n">
        <v>57</v>
      </c>
      <c r="B61" s="12" t="n"/>
      <c r="C61" s="12" t="n"/>
      <c r="D61" s="12" t="n"/>
      <c r="E61" s="12" t="n"/>
      <c r="F61" s="12" t="n"/>
      <c r="G61" s="12" t="n"/>
      <c r="H61" s="12" t="n"/>
      <c r="I61" s="12" t="n"/>
      <c r="J61" s="55" t="n"/>
      <c r="K61" s="55" t="n"/>
      <c r="L61" s="12" t="n"/>
      <c r="M61" s="12" t="n"/>
    </row>
    <row r="62" ht="26" customHeight="1">
      <c r="A62" s="76" t="n">
        <v>58</v>
      </c>
      <c r="B62" s="15" t="n"/>
      <c r="C62" s="15" t="n"/>
      <c r="D62" s="15" t="n"/>
      <c r="E62" s="15" t="n"/>
      <c r="F62" s="15" t="n"/>
      <c r="G62" s="15" t="n"/>
      <c r="H62" s="15" t="n"/>
      <c r="I62" s="15" t="n"/>
      <c r="J62" s="77" t="n"/>
      <c r="K62" s="77" t="n"/>
      <c r="L62" s="15" t="n"/>
      <c r="M62" s="15" t="n"/>
    </row>
    <row r="63" ht="26" customHeight="1">
      <c r="A63" s="52" t="n">
        <v>59</v>
      </c>
      <c r="B63" s="12" t="n"/>
      <c r="C63" s="12" t="n"/>
      <c r="D63" s="12" t="n"/>
      <c r="E63" s="12" t="n"/>
      <c r="F63" s="12" t="n"/>
      <c r="G63" s="12" t="n"/>
      <c r="H63" s="12" t="n"/>
      <c r="I63" s="12" t="n"/>
      <c r="J63" s="55" t="n"/>
      <c r="K63" s="55" t="n"/>
      <c r="L63" s="12" t="n"/>
      <c r="M63" s="12" t="n"/>
    </row>
    <row r="64" ht="26" customHeight="1">
      <c r="A64" s="76" t="n">
        <v>60</v>
      </c>
      <c r="B64" s="15" t="n"/>
      <c r="C64" s="15" t="n"/>
      <c r="D64" s="15" t="n"/>
      <c r="E64" s="15" t="n"/>
      <c r="F64" s="15" t="n"/>
      <c r="G64" s="15" t="n"/>
      <c r="H64" s="15" t="n"/>
      <c r="I64" s="15" t="n"/>
      <c r="J64" s="77" t="n"/>
      <c r="K64" s="77" t="n"/>
      <c r="L64" s="15" t="n"/>
      <c r="M64" s="15" t="n"/>
    </row>
    <row r="65" ht="26" customHeight="1">
      <c r="A65" s="52" t="n">
        <v>61</v>
      </c>
      <c r="B65" s="12" t="n"/>
      <c r="C65" s="12" t="n"/>
      <c r="D65" s="12" t="n"/>
      <c r="E65" s="12" t="n"/>
      <c r="F65" s="12" t="n"/>
      <c r="G65" s="12" t="n"/>
      <c r="H65" s="12" t="n"/>
      <c r="I65" s="12" t="n"/>
      <c r="J65" s="55" t="n"/>
      <c r="K65" s="55" t="n"/>
      <c r="L65" s="12" t="n"/>
      <c r="M65" s="12" t="n"/>
    </row>
    <row r="66" ht="26" customHeight="1">
      <c r="A66" s="76" t="n">
        <v>62</v>
      </c>
      <c r="B66" s="15" t="n"/>
      <c r="C66" s="15" t="n"/>
      <c r="D66" s="15" t="n"/>
      <c r="E66" s="15" t="n"/>
      <c r="F66" s="15" t="n"/>
      <c r="G66" s="15" t="n"/>
      <c r="H66" s="15" t="n"/>
      <c r="I66" s="15" t="n"/>
      <c r="J66" s="77" t="n"/>
      <c r="K66" s="77" t="n"/>
      <c r="L66" s="15" t="n"/>
      <c r="M66" s="15" t="n"/>
    </row>
    <row r="67" ht="26" customHeight="1">
      <c r="A67" s="52" t="n">
        <v>63</v>
      </c>
      <c r="B67" s="12" t="n"/>
      <c r="C67" s="12" t="n"/>
      <c r="D67" s="12" t="n"/>
      <c r="E67" s="12" t="n"/>
      <c r="F67" s="12" t="n"/>
      <c r="G67" s="12" t="n"/>
      <c r="H67" s="12" t="n"/>
      <c r="I67" s="12" t="n"/>
      <c r="J67" s="55" t="n"/>
      <c r="K67" s="55" t="n"/>
      <c r="L67" s="12" t="n"/>
      <c r="M67" s="12" t="n"/>
    </row>
    <row r="68" ht="26" customHeight="1">
      <c r="A68" s="76" t="n">
        <v>64</v>
      </c>
      <c r="B68" s="15" t="n"/>
      <c r="C68" s="15" t="n"/>
      <c r="D68" s="15" t="n"/>
      <c r="E68" s="15" t="n"/>
      <c r="F68" s="15" t="n"/>
      <c r="G68" s="15" t="n"/>
      <c r="H68" s="15" t="n"/>
      <c r="I68" s="15" t="n"/>
      <c r="J68" s="77" t="n"/>
      <c r="K68" s="77" t="n"/>
      <c r="L68" s="15" t="n"/>
      <c r="M68" s="15" t="n"/>
    </row>
    <row r="69" ht="26" customHeight="1">
      <c r="A69" s="52" t="n">
        <v>65</v>
      </c>
      <c r="B69" s="12" t="n"/>
      <c r="C69" s="12" t="n"/>
      <c r="D69" s="12" t="n"/>
      <c r="E69" s="12" t="n"/>
      <c r="F69" s="12" t="n"/>
      <c r="G69" s="12" t="n"/>
      <c r="H69" s="12" t="n"/>
      <c r="I69" s="12" t="n"/>
      <c r="J69" s="55" t="n"/>
      <c r="K69" s="55" t="n"/>
      <c r="L69" s="12" t="n"/>
      <c r="M69" s="12" t="n"/>
    </row>
    <row r="70" ht="26" customHeight="1">
      <c r="A70" s="76" t="n">
        <v>66</v>
      </c>
      <c r="B70" s="15" t="n"/>
      <c r="C70" s="15" t="n"/>
      <c r="D70" s="15" t="n"/>
      <c r="E70" s="15" t="n"/>
      <c r="F70" s="15" t="n"/>
      <c r="G70" s="15" t="n"/>
      <c r="H70" s="15" t="n"/>
      <c r="I70" s="15" t="n"/>
      <c r="J70" s="77" t="n"/>
      <c r="K70" s="77" t="n"/>
      <c r="L70" s="15" t="n"/>
      <c r="M70" s="15" t="n"/>
    </row>
    <row r="71" ht="26" customHeight="1">
      <c r="A71" s="52" t="n">
        <v>67</v>
      </c>
      <c r="B71" s="12" t="n"/>
      <c r="C71" s="12" t="n"/>
      <c r="D71" s="12" t="n"/>
      <c r="E71" s="12" t="n"/>
      <c r="F71" s="12" t="n"/>
      <c r="G71" s="12" t="n"/>
      <c r="H71" s="12" t="n"/>
      <c r="I71" s="12" t="n"/>
      <c r="J71" s="55" t="n"/>
      <c r="K71" s="55" t="n"/>
      <c r="L71" s="12" t="n"/>
      <c r="M71" s="12" t="n"/>
    </row>
    <row r="72" ht="26" customHeight="1">
      <c r="A72" s="76" t="n">
        <v>68</v>
      </c>
      <c r="B72" s="15" t="n"/>
      <c r="C72" s="15" t="n"/>
      <c r="D72" s="15" t="n"/>
      <c r="E72" s="15" t="n"/>
      <c r="F72" s="15" t="n"/>
      <c r="G72" s="15" t="n"/>
      <c r="H72" s="15" t="n"/>
      <c r="I72" s="15" t="n"/>
      <c r="J72" s="77" t="n"/>
      <c r="K72" s="77" t="n"/>
      <c r="L72" s="15" t="n"/>
      <c r="M72" s="15" t="n"/>
    </row>
    <row r="73" ht="26" customHeight="1">
      <c r="A73" s="52" t="n">
        <v>69</v>
      </c>
      <c r="B73" s="12" t="n"/>
      <c r="C73" s="12" t="n"/>
      <c r="D73" s="12" t="n"/>
      <c r="E73" s="12" t="n"/>
      <c r="F73" s="12" t="n"/>
      <c r="G73" s="12" t="n"/>
      <c r="H73" s="12" t="n"/>
      <c r="I73" s="12" t="n"/>
      <c r="J73" s="55" t="n"/>
      <c r="K73" s="55" t="n"/>
      <c r="L73" s="12" t="n"/>
      <c r="M73" s="12" t="n"/>
    </row>
    <row r="74" ht="26" customHeight="1">
      <c r="A74" s="76" t="n">
        <v>70</v>
      </c>
      <c r="B74" s="15" t="n"/>
      <c r="C74" s="15" t="n"/>
      <c r="D74" s="15" t="n"/>
      <c r="E74" s="15" t="n"/>
      <c r="F74" s="15" t="n"/>
      <c r="G74" s="15" t="n"/>
      <c r="H74" s="15" t="n"/>
      <c r="I74" s="15" t="n"/>
      <c r="J74" s="77" t="n"/>
      <c r="K74" s="77" t="n"/>
      <c r="L74" s="15" t="n"/>
      <c r="M74" s="15" t="n"/>
    </row>
    <row r="75" ht="26" customHeight="1">
      <c r="A75" s="52" t="n">
        <v>71</v>
      </c>
      <c r="B75" s="12" t="n"/>
      <c r="C75" s="12" t="n"/>
      <c r="D75" s="12" t="n"/>
      <c r="E75" s="12" t="n"/>
      <c r="F75" s="12" t="n"/>
      <c r="G75" s="12" t="n"/>
      <c r="H75" s="12" t="n"/>
      <c r="I75" s="12" t="n"/>
      <c r="J75" s="55" t="n"/>
      <c r="K75" s="55" t="n"/>
      <c r="L75" s="12" t="n"/>
      <c r="M75" s="12" t="n"/>
    </row>
    <row r="76" ht="26" customHeight="1">
      <c r="A76" s="76" t="n">
        <v>72</v>
      </c>
      <c r="B76" s="15" t="n"/>
      <c r="C76" s="15" t="n"/>
      <c r="D76" s="15" t="n"/>
      <c r="E76" s="15" t="n"/>
      <c r="F76" s="15" t="n"/>
      <c r="G76" s="15" t="n"/>
      <c r="H76" s="15" t="n"/>
      <c r="I76" s="15" t="n"/>
      <c r="J76" s="77" t="n"/>
      <c r="K76" s="77" t="n"/>
      <c r="L76" s="15" t="n"/>
      <c r="M76" s="15" t="n"/>
    </row>
    <row r="77" ht="26" customHeight="1">
      <c r="A77" s="52" t="n">
        <v>73</v>
      </c>
      <c r="B77" s="12" t="n"/>
      <c r="C77" s="12" t="n"/>
      <c r="D77" s="12" t="n"/>
      <c r="E77" s="12" t="n"/>
      <c r="F77" s="12" t="n"/>
      <c r="G77" s="12" t="n"/>
      <c r="H77" s="12" t="n"/>
      <c r="I77" s="12" t="n"/>
      <c r="J77" s="55" t="n"/>
      <c r="K77" s="55" t="n"/>
      <c r="L77" s="12" t="n"/>
      <c r="M77" s="12" t="n"/>
    </row>
    <row r="78" ht="26" customHeight="1">
      <c r="A78" s="76" t="n">
        <v>74</v>
      </c>
      <c r="B78" s="15" t="n"/>
      <c r="C78" s="15" t="n"/>
      <c r="D78" s="15" t="n"/>
      <c r="E78" s="15" t="n"/>
      <c r="F78" s="15" t="n"/>
      <c r="G78" s="15" t="n"/>
      <c r="H78" s="15" t="n"/>
      <c r="I78" s="15" t="n"/>
      <c r="J78" s="77" t="n"/>
      <c r="K78" s="77" t="n"/>
      <c r="L78" s="15" t="n"/>
      <c r="M78" s="15" t="n"/>
    </row>
    <row r="79" ht="26" customHeight="1">
      <c r="A79" s="52" t="n">
        <v>75</v>
      </c>
      <c r="B79" s="12" t="n"/>
      <c r="C79" s="12" t="n"/>
      <c r="D79" s="12" t="n"/>
      <c r="E79" s="12" t="n"/>
      <c r="F79" s="12" t="n"/>
      <c r="G79" s="12" t="n"/>
      <c r="H79" s="12" t="n"/>
      <c r="I79" s="12" t="n"/>
      <c r="J79" s="55" t="n"/>
      <c r="K79" s="55" t="n"/>
      <c r="L79" s="12" t="n"/>
      <c r="M79" s="12" t="n"/>
    </row>
    <row r="80" ht="26" customHeight="1">
      <c r="A80" s="76" t="n">
        <v>76</v>
      </c>
      <c r="B80" s="15" t="n"/>
      <c r="C80" s="15" t="n"/>
      <c r="D80" s="15" t="n"/>
      <c r="E80" s="15" t="n"/>
      <c r="F80" s="15" t="n"/>
      <c r="G80" s="15" t="n"/>
      <c r="H80" s="15" t="n"/>
      <c r="I80" s="15" t="n"/>
      <c r="J80" s="77" t="n"/>
      <c r="K80" s="77" t="n"/>
      <c r="L80" s="15" t="n"/>
      <c r="M80" s="15" t="n"/>
    </row>
    <row r="81" ht="26" customHeight="1">
      <c r="A81" s="52" t="n">
        <v>77</v>
      </c>
      <c r="B81" s="12" t="n"/>
      <c r="C81" s="12" t="n"/>
      <c r="D81" s="12" t="n"/>
      <c r="E81" s="12" t="n"/>
      <c r="F81" s="12" t="n"/>
      <c r="G81" s="12" t="n"/>
      <c r="H81" s="12" t="n"/>
      <c r="I81" s="12" t="n"/>
      <c r="J81" s="55" t="n"/>
      <c r="K81" s="55" t="n"/>
      <c r="L81" s="12" t="n"/>
      <c r="M81" s="12" t="n"/>
    </row>
    <row r="82" ht="26" customHeight="1">
      <c r="A82" s="76" t="n">
        <v>78</v>
      </c>
      <c r="B82" s="15" t="n"/>
      <c r="C82" s="15" t="n"/>
      <c r="D82" s="15" t="n"/>
      <c r="E82" s="15" t="n"/>
      <c r="F82" s="15" t="n"/>
      <c r="G82" s="15" t="n"/>
      <c r="H82" s="15" t="n"/>
      <c r="I82" s="15" t="n"/>
      <c r="J82" s="77" t="n"/>
      <c r="K82" s="77" t="n"/>
      <c r="L82" s="15" t="n"/>
      <c r="M82" s="15" t="n"/>
    </row>
    <row r="83" ht="26" customHeight="1">
      <c r="A83" s="52" t="n">
        <v>79</v>
      </c>
      <c r="B83" s="12" t="n"/>
      <c r="C83" s="12" t="n"/>
      <c r="D83" s="12" t="n"/>
      <c r="E83" s="12" t="n"/>
      <c r="F83" s="12" t="n"/>
      <c r="G83" s="12" t="n"/>
      <c r="H83" s="12" t="n"/>
      <c r="I83" s="12" t="n"/>
      <c r="J83" s="55" t="n"/>
      <c r="K83" s="55" t="n"/>
      <c r="L83" s="12" t="n"/>
      <c r="M83" s="12" t="n"/>
    </row>
    <row r="84" ht="26" customHeight="1">
      <c r="A84" s="76" t="n">
        <v>80</v>
      </c>
      <c r="B84" s="15" t="n"/>
      <c r="C84" s="15" t="n"/>
      <c r="D84" s="15" t="n"/>
      <c r="E84" s="15" t="n"/>
      <c r="F84" s="15" t="n"/>
      <c r="G84" s="15" t="n"/>
      <c r="H84" s="15" t="n"/>
      <c r="I84" s="15" t="n"/>
      <c r="J84" s="77" t="n"/>
      <c r="K84" s="77" t="n"/>
      <c r="L84" s="15" t="n"/>
      <c r="M84" s="15" t="n"/>
    </row>
    <row r="85" ht="26" customHeight="1">
      <c r="A85" s="52" t="n">
        <v>81</v>
      </c>
      <c r="B85" s="12" t="n"/>
      <c r="C85" s="12" t="n"/>
      <c r="D85" s="12" t="n"/>
      <c r="E85" s="12" t="n"/>
      <c r="F85" s="12" t="n"/>
      <c r="G85" s="12" t="n"/>
      <c r="H85" s="12" t="n"/>
      <c r="I85" s="12" t="n"/>
      <c r="J85" s="55" t="n"/>
      <c r="K85" s="55" t="n"/>
      <c r="L85" s="12" t="n"/>
      <c r="M85" s="12" t="n"/>
    </row>
    <row r="86" ht="26" customHeight="1">
      <c r="A86" s="76" t="n">
        <v>82</v>
      </c>
      <c r="B86" s="15" t="n"/>
      <c r="C86" s="15" t="n"/>
      <c r="D86" s="15" t="n"/>
      <c r="E86" s="15" t="n"/>
      <c r="F86" s="15" t="n"/>
      <c r="G86" s="15" t="n"/>
      <c r="H86" s="15" t="n"/>
      <c r="I86" s="15" t="n"/>
      <c r="J86" s="77" t="n"/>
      <c r="K86" s="77" t="n"/>
      <c r="L86" s="15" t="n"/>
      <c r="M86" s="15" t="n"/>
    </row>
    <row r="87" ht="26" customHeight="1">
      <c r="A87" s="52" t="n">
        <v>83</v>
      </c>
      <c r="B87" s="12" t="n"/>
      <c r="C87" s="12" t="n"/>
      <c r="D87" s="12" t="n"/>
      <c r="E87" s="12" t="n"/>
      <c r="F87" s="12" t="n"/>
      <c r="G87" s="12" t="n"/>
      <c r="H87" s="12" t="n"/>
      <c r="I87" s="12" t="n"/>
      <c r="J87" s="55" t="n"/>
      <c r="K87" s="55" t="n"/>
      <c r="L87" s="12" t="n"/>
      <c r="M87" s="12" t="n"/>
    </row>
    <row r="88" ht="26" customHeight="1">
      <c r="A88" s="76" t="n">
        <v>84</v>
      </c>
      <c r="B88" s="15" t="n"/>
      <c r="C88" s="15" t="n"/>
      <c r="D88" s="15" t="n"/>
      <c r="E88" s="15" t="n"/>
      <c r="F88" s="15" t="n"/>
      <c r="G88" s="15" t="n"/>
      <c r="H88" s="15" t="n"/>
      <c r="I88" s="15" t="n"/>
      <c r="J88" s="77" t="n"/>
      <c r="K88" s="77" t="n"/>
      <c r="L88" s="15" t="n"/>
      <c r="M88" s="15" t="n"/>
    </row>
    <row r="89" ht="26" customHeight="1">
      <c r="A89" s="52" t="n">
        <v>85</v>
      </c>
      <c r="B89" s="12" t="n"/>
      <c r="C89" s="12" t="n"/>
      <c r="D89" s="12" t="n"/>
      <c r="E89" s="12" t="n"/>
      <c r="F89" s="12" t="n"/>
      <c r="G89" s="12" t="n"/>
      <c r="H89" s="12" t="n"/>
      <c r="I89" s="12" t="n"/>
      <c r="J89" s="55" t="n"/>
      <c r="K89" s="55" t="n"/>
      <c r="L89" s="12" t="n"/>
      <c r="M89" s="12" t="n"/>
    </row>
    <row r="90" ht="26" customHeight="1">
      <c r="A90" s="76" t="n">
        <v>86</v>
      </c>
      <c r="B90" s="15" t="n"/>
      <c r="C90" s="15" t="n"/>
      <c r="D90" s="15" t="n"/>
      <c r="E90" s="15" t="n"/>
      <c r="F90" s="15" t="n"/>
      <c r="G90" s="15" t="n"/>
      <c r="H90" s="15" t="n"/>
      <c r="I90" s="15" t="n"/>
      <c r="J90" s="77" t="n"/>
      <c r="K90" s="77" t="n"/>
      <c r="L90" s="15" t="n"/>
      <c r="M90" s="15" t="n"/>
    </row>
    <row r="91" ht="26" customHeight="1">
      <c r="A91" s="52" t="n">
        <v>87</v>
      </c>
      <c r="B91" s="12" t="n"/>
      <c r="C91" s="12" t="n"/>
      <c r="D91" s="12" t="n"/>
      <c r="E91" s="12" t="n"/>
      <c r="F91" s="12" t="n"/>
      <c r="G91" s="12" t="n"/>
      <c r="H91" s="12" t="n"/>
      <c r="I91" s="12" t="n"/>
      <c r="J91" s="55" t="n"/>
      <c r="K91" s="55" t="n"/>
      <c r="L91" s="12" t="n"/>
      <c r="M91" s="12" t="n"/>
    </row>
    <row r="92" ht="26" customHeight="1">
      <c r="A92" s="76" t="n">
        <v>88</v>
      </c>
      <c r="B92" s="15" t="n"/>
      <c r="C92" s="15" t="n"/>
      <c r="D92" s="15" t="n"/>
      <c r="E92" s="15" t="n"/>
      <c r="F92" s="15" t="n"/>
      <c r="G92" s="15" t="n"/>
      <c r="H92" s="15" t="n"/>
      <c r="I92" s="15" t="n"/>
      <c r="J92" s="77" t="n"/>
      <c r="K92" s="77" t="n"/>
      <c r="L92" s="15" t="n"/>
      <c r="M92" s="15" t="n"/>
    </row>
    <row r="93" ht="26" customHeight="1">
      <c r="A93" s="52" t="n">
        <v>89</v>
      </c>
      <c r="B93" s="12" t="n"/>
      <c r="C93" s="12" t="n"/>
      <c r="D93" s="12" t="n"/>
      <c r="E93" s="12" t="n"/>
      <c r="F93" s="12" t="n"/>
      <c r="G93" s="12" t="n"/>
      <c r="H93" s="12" t="n"/>
      <c r="I93" s="12" t="n"/>
      <c r="J93" s="55" t="n"/>
      <c r="K93" s="55" t="n"/>
      <c r="L93" s="12" t="n"/>
      <c r="M93" s="12" t="n"/>
    </row>
    <row r="94" ht="26" customHeight="1">
      <c r="A94" s="76" t="n">
        <v>90</v>
      </c>
      <c r="B94" s="15" t="n"/>
      <c r="C94" s="15" t="n"/>
      <c r="D94" s="15" t="n"/>
      <c r="E94" s="15" t="n"/>
      <c r="F94" s="15" t="n"/>
      <c r="G94" s="15" t="n"/>
      <c r="H94" s="15" t="n"/>
      <c r="I94" s="15" t="n"/>
      <c r="J94" s="77" t="n"/>
      <c r="K94" s="77" t="n"/>
      <c r="L94" s="15" t="n"/>
      <c r="M94" s="15" t="n"/>
    </row>
    <row r="95" ht="26" customHeight="1">
      <c r="A95" s="52" t="n">
        <v>91</v>
      </c>
      <c r="B95" s="12" t="n"/>
      <c r="C95" s="12" t="n"/>
      <c r="D95" s="12" t="n"/>
      <c r="E95" s="12" t="n"/>
      <c r="F95" s="12" t="n"/>
      <c r="G95" s="12" t="n"/>
      <c r="H95" s="12" t="n"/>
      <c r="I95" s="12" t="n"/>
      <c r="J95" s="55" t="n"/>
      <c r="K95" s="55" t="n"/>
      <c r="L95" s="12" t="n"/>
      <c r="M95" s="12" t="n"/>
    </row>
    <row r="96" ht="26" customHeight="1">
      <c r="A96" s="76" t="n">
        <v>92</v>
      </c>
      <c r="B96" s="15" t="n"/>
      <c r="C96" s="15" t="n"/>
      <c r="D96" s="15" t="n"/>
      <c r="E96" s="15" t="n"/>
      <c r="F96" s="15" t="n"/>
      <c r="G96" s="15" t="n"/>
      <c r="H96" s="15" t="n"/>
      <c r="I96" s="15" t="n"/>
      <c r="J96" s="77" t="n"/>
      <c r="K96" s="77" t="n"/>
      <c r="L96" s="15" t="n"/>
      <c r="M96" s="15" t="n"/>
    </row>
    <row r="97" ht="26" customHeight="1">
      <c r="A97" s="52" t="n">
        <v>93</v>
      </c>
      <c r="B97" s="12" t="n"/>
      <c r="C97" s="12" t="n"/>
      <c r="D97" s="12" t="n"/>
      <c r="E97" s="12" t="n"/>
      <c r="F97" s="12" t="n"/>
      <c r="G97" s="12" t="n"/>
      <c r="H97" s="12" t="n"/>
      <c r="I97" s="12" t="n"/>
      <c r="J97" s="55" t="n"/>
      <c r="K97" s="55" t="n"/>
      <c r="L97" s="12" t="n"/>
      <c r="M97" s="12" t="n"/>
    </row>
    <row r="98" ht="26" customHeight="1">
      <c r="A98" s="76" t="n">
        <v>94</v>
      </c>
      <c r="B98" s="15" t="n"/>
      <c r="C98" s="15" t="n"/>
      <c r="D98" s="15" t="n"/>
      <c r="E98" s="15" t="n"/>
      <c r="F98" s="15" t="n"/>
      <c r="G98" s="15" t="n"/>
      <c r="H98" s="15" t="n"/>
      <c r="I98" s="15" t="n"/>
      <c r="J98" s="77" t="n"/>
      <c r="K98" s="77" t="n"/>
      <c r="L98" s="15" t="n"/>
      <c r="M98" s="15" t="n"/>
    </row>
    <row r="99" ht="26" customHeight="1">
      <c r="A99" s="52" t="n">
        <v>95</v>
      </c>
      <c r="B99" s="12" t="n"/>
      <c r="C99" s="12" t="n"/>
      <c r="D99" s="12" t="n"/>
      <c r="E99" s="12" t="n"/>
      <c r="F99" s="12" t="n"/>
      <c r="G99" s="12" t="n"/>
      <c r="H99" s="12" t="n"/>
      <c r="I99" s="12" t="n"/>
      <c r="J99" s="55" t="n"/>
      <c r="K99" s="55" t="n"/>
      <c r="L99" s="12" t="n"/>
      <c r="M99" s="12" t="n"/>
    </row>
    <row r="100" ht="26" customHeight="1">
      <c r="A100" s="76" t="n">
        <v>96</v>
      </c>
      <c r="B100" s="15" t="n"/>
      <c r="C100" s="15" t="n"/>
      <c r="D100" s="15" t="n"/>
      <c r="E100" s="15" t="n"/>
      <c r="F100" s="15" t="n"/>
      <c r="G100" s="15" t="n"/>
      <c r="H100" s="15" t="n"/>
      <c r="I100" s="15" t="n"/>
      <c r="J100" s="77" t="n"/>
      <c r="K100" s="77" t="n"/>
      <c r="L100" s="15" t="n"/>
      <c r="M100" s="15" t="n"/>
    </row>
    <row r="101" ht="26" customHeight="1">
      <c r="A101" s="52" t="n">
        <v>97</v>
      </c>
      <c r="B101" s="12" t="n"/>
      <c r="C101" s="12" t="n"/>
      <c r="D101" s="12" t="n"/>
      <c r="E101" s="12" t="n"/>
      <c r="F101" s="12" t="n"/>
      <c r="G101" s="12" t="n"/>
      <c r="H101" s="12" t="n"/>
      <c r="I101" s="12" t="n"/>
      <c r="J101" s="55" t="n"/>
      <c r="K101" s="55" t="n"/>
      <c r="L101" s="12" t="n"/>
      <c r="M101" s="12" t="n"/>
    </row>
    <row r="102" ht="26" customHeight="1">
      <c r="A102" s="76" t="n">
        <v>98</v>
      </c>
      <c r="B102" s="15" t="n"/>
      <c r="C102" s="15" t="n"/>
      <c r="D102" s="15" t="n"/>
      <c r="E102" s="15" t="n"/>
      <c r="F102" s="15" t="n"/>
      <c r="G102" s="15" t="n"/>
      <c r="H102" s="15" t="n"/>
      <c r="I102" s="15" t="n"/>
      <c r="J102" s="77" t="n"/>
      <c r="K102" s="77" t="n"/>
      <c r="L102" s="15" t="n"/>
      <c r="M102" s="15" t="n"/>
    </row>
    <row r="103" ht="26" customHeight="1">
      <c r="A103" s="52" t="n">
        <v>99</v>
      </c>
      <c r="B103" s="12" t="n"/>
      <c r="C103" s="12" t="n"/>
      <c r="D103" s="12" t="n"/>
      <c r="E103" s="12" t="n"/>
      <c r="F103" s="12" t="n"/>
      <c r="G103" s="12" t="n"/>
      <c r="H103" s="12" t="n"/>
      <c r="I103" s="12" t="n"/>
      <c r="J103" s="55" t="n"/>
      <c r="K103" s="55" t="n"/>
      <c r="L103" s="12" t="n"/>
      <c r="M103" s="12" t="n"/>
    </row>
    <row r="104" ht="26" customHeight="1">
      <c r="A104" s="76" t="n">
        <v>100</v>
      </c>
      <c r="B104" s="15" t="n"/>
      <c r="C104" s="15" t="n"/>
      <c r="D104" s="15" t="n"/>
      <c r="E104" s="15" t="n"/>
      <c r="F104" s="15" t="n"/>
      <c r="G104" s="15" t="n"/>
      <c r="H104" s="15" t="n"/>
      <c r="I104" s="15" t="n"/>
      <c r="J104" s="77" t="n"/>
      <c r="K104" s="77" t="n"/>
      <c r="L104" s="15" t="n"/>
      <c r="M104" s="15" t="n"/>
    </row>
  </sheetData>
  <mergeCells count="2">
    <mergeCell ref="A2:L2"/>
    <mergeCell ref="A1:L1"/>
  </mergeCells>
  <dataValidations count="3">
    <dataValidation sqref="B5:B104" showDropDown="0" showInputMessage="0" showErrorMessage="0" allowBlank="1" type="list">
      <formula1>'⚙ Config'!$A$5:$A$44</formula1>
    </dataValidation>
    <dataValidation sqref="D5:D104" showDropDown="0" showInputMessage="0" showErrorMessage="0" allowBlank="1" type="list">
      <formula1>'⚙ Config'!$C$5:$C$44</formula1>
    </dataValidation>
    <dataValidation sqref="I5:I104" showDropDown="0" showInputMessage="0" showErrorMessage="0" allowBlank="1" type="list">
      <formula1>"Excellent,Good,Fair,Poor,For Repair,Decommissioned"</formula1>
    </dataValidation>
  </dataValidations>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7B0000"/>
    <outlinePr summaryBelow="1" summaryRight="1"/>
    <pageSetUpPr/>
  </sheetPr>
  <dimension ref="A1:R152"/>
  <sheetViews>
    <sheetView showGridLines="0" workbookViewId="0">
      <pane ySplit="5" topLeftCell="A6" activePane="bottomLeft" state="frozen"/>
      <selection pane="bottomLeft" activeCell="A1" sqref="A1"/>
    </sheetView>
  </sheetViews>
  <sheetFormatPr baseColWidth="8" defaultRowHeight="15"/>
  <cols>
    <col width="4" customWidth="1" min="1" max="1"/>
    <col width="18" customWidth="1" min="2" max="2"/>
    <col width="14" customWidth="1" min="3" max="3"/>
    <col width="18" customWidth="1" min="4" max="4"/>
    <col width="16" customWidth="1" min="5" max="5"/>
    <col width="16" customWidth="1" min="6" max="6"/>
    <col width="14" customWidth="1" min="7" max="7"/>
    <col width="14" customWidth="1" min="8" max="8"/>
    <col width="14" customWidth="1" min="9" max="9"/>
    <col width="18" customWidth="1" min="10" max="10"/>
    <col width="16" customWidth="1" min="11" max="11"/>
    <col width="16" customWidth="1" min="12" max="12"/>
    <col width="13" customWidth="1" min="13" max="13"/>
    <col width="22" customWidth="1" min="14" max="14"/>
    <col width="18" customWidth="1" min="15" max="15"/>
    <col width="16" customWidth="1" min="16" max="16"/>
    <col width="13" customWidth="1" min="17" max="17"/>
    <col width="20" customWidth="1" min="18" max="18"/>
  </cols>
  <sheetData>
    <row r="1" ht="44" customHeight="1">
      <c r="A1" s="124" t="inlineStr">
        <is>
          <t>🔐  DEVICE CREDENTIALS &amp; NETWORK REGISTRY</t>
        </is>
      </c>
    </row>
    <row r="2" ht="18" customHeight="1">
      <c r="A2" s="125" t="inlineStr">
        <is>
          <t>CONFIDENTIAL — Restrict access. Store passwords using encoded/masked format where possible.</t>
        </is>
      </c>
    </row>
    <row r="3" ht="8" customHeight="1">
      <c r="A3" s="126" t="n"/>
    </row>
    <row r="4" ht="22" customHeight="1">
      <c r="A4" s="127" t="inlineStr">
        <is>
          <t>⚠  SECURITY NOTICE:  This sheet contains sensitive credentials. Limit access to authorised IT personnel only. Consider using a password manager for live credentials — store only partial/masked passwords here (e.g. ••••••Admin1 or first 3 + last 2 chars). Lock this sheet with a password via Review → Protect Sheet before sharing the file.</t>
        </is>
      </c>
    </row>
    <row r="5" ht="22" customHeight="1"/>
    <row r="6" ht="24" customHeight="1">
      <c r="A6" s="128" t="inlineStr">
        <is>
          <t>🌐  SECTION 1: ROUTERS &amp; FIREWALLS</t>
        </is>
      </c>
    </row>
    <row r="7" ht="32" customHeight="1">
      <c r="A7" s="129" t="inlineStr">
        <is>
          <t>#</t>
        </is>
      </c>
      <c r="B7" s="129" t="inlineStr">
        <is>
          <t>Department /
Location</t>
        </is>
      </c>
      <c r="C7" s="129" t="inlineStr">
        <is>
          <t>Device Label
(e.g. RTR-01)</t>
        </is>
      </c>
      <c r="D7" s="129" t="inlineStr">
        <is>
          <t>Make / Model</t>
        </is>
      </c>
      <c r="E7" s="129" t="inlineStr">
        <is>
          <t>WAN IP Address</t>
        </is>
      </c>
      <c r="F7" s="129" t="inlineStr">
        <is>
          <t>LAN IP Address</t>
        </is>
      </c>
      <c r="G7" s="129" t="inlineStr">
        <is>
          <t>Subnet Mask</t>
        </is>
      </c>
      <c r="H7" s="129" t="inlineStr">
        <is>
          <t>Default Gateway</t>
        </is>
      </c>
      <c r="I7" s="129" t="inlineStr">
        <is>
          <t>Admin URL /
Access Method</t>
        </is>
      </c>
      <c r="J7" s="129" t="inlineStr">
        <is>
          <t>Admin Username</t>
        </is>
      </c>
      <c r="K7" s="129" t="inlineStr">
        <is>
          <t>Admin Password
(mask: ••••xx)</t>
        </is>
      </c>
      <c r="L7" s="129" t="inlineStr">
        <is>
          <t>Firmware
Version</t>
        </is>
      </c>
      <c r="M7" s="129" t="inlineStr">
        <is>
          <t>Last Changed</t>
        </is>
      </c>
      <c r="N7" s="129" t="inlineStr">
        <is>
          <t>Notes</t>
        </is>
      </c>
    </row>
    <row r="8" ht="28" customHeight="1">
      <c r="A8" s="130" t="n">
        <v>1</v>
      </c>
      <c r="B8" s="131" t="n"/>
      <c r="C8" s="131" t="n"/>
      <c r="D8" s="131" t="n"/>
      <c r="E8" s="131" t="n"/>
      <c r="F8" s="131" t="n"/>
      <c r="G8" s="131" t="n"/>
      <c r="H8" s="131" t="n"/>
      <c r="I8" s="131" t="n"/>
      <c r="J8" s="131" t="n"/>
      <c r="K8" s="131" t="n"/>
      <c r="L8" s="131" t="n"/>
      <c r="M8" s="132" t="n"/>
      <c r="N8" s="131" t="n"/>
    </row>
    <row r="9" ht="28" customHeight="1">
      <c r="A9" s="52" t="n">
        <v>2</v>
      </c>
      <c r="B9" s="12" t="n"/>
      <c r="C9" s="12" t="n"/>
      <c r="D9" s="12" t="n"/>
      <c r="E9" s="12" t="n"/>
      <c r="F9" s="12" t="n"/>
      <c r="G9" s="12" t="n"/>
      <c r="H9" s="12" t="n"/>
      <c r="I9" s="12" t="n"/>
      <c r="J9" s="12" t="n"/>
      <c r="K9" s="12" t="n"/>
      <c r="L9" s="12" t="n"/>
      <c r="M9" s="55" t="n"/>
      <c r="N9" s="12" t="n"/>
    </row>
    <row r="10" ht="28" customHeight="1">
      <c r="A10" s="130" t="n">
        <v>3</v>
      </c>
      <c r="B10" s="131" t="n"/>
      <c r="C10" s="131" t="n"/>
      <c r="D10" s="131" t="n"/>
      <c r="E10" s="131" t="n"/>
      <c r="F10" s="131" t="n"/>
      <c r="G10" s="131" t="n"/>
      <c r="H10" s="131" t="n"/>
      <c r="I10" s="131" t="n"/>
      <c r="J10" s="131" t="n"/>
      <c r="K10" s="131" t="n"/>
      <c r="L10" s="131" t="n"/>
      <c r="M10" s="132" t="n"/>
      <c r="N10" s="131" t="n"/>
    </row>
    <row r="11" ht="28" customHeight="1">
      <c r="A11" s="52" t="n">
        <v>4</v>
      </c>
      <c r="B11" s="12" t="n"/>
      <c r="C11" s="12" t="n"/>
      <c r="D11" s="12" t="n"/>
      <c r="E11" s="12" t="n"/>
      <c r="F11" s="12" t="n"/>
      <c r="G11" s="12" t="n"/>
      <c r="H11" s="12" t="n"/>
      <c r="I11" s="12" t="n"/>
      <c r="J11" s="12" t="n"/>
      <c r="K11" s="12" t="n"/>
      <c r="L11" s="12" t="n"/>
      <c r="M11" s="55" t="n"/>
      <c r="N11" s="12" t="n"/>
    </row>
    <row r="12" ht="28" customHeight="1">
      <c r="A12" s="130" t="n">
        <v>5</v>
      </c>
      <c r="B12" s="131" t="n"/>
      <c r="C12" s="131" t="n"/>
      <c r="D12" s="131" t="n"/>
      <c r="E12" s="131" t="n"/>
      <c r="F12" s="131" t="n"/>
      <c r="G12" s="131" t="n"/>
      <c r="H12" s="131" t="n"/>
      <c r="I12" s="131" t="n"/>
      <c r="J12" s="131" t="n"/>
      <c r="K12" s="131" t="n"/>
      <c r="L12" s="131" t="n"/>
      <c r="M12" s="132" t="n"/>
      <c r="N12" s="131" t="n"/>
    </row>
    <row r="13" ht="28" customHeight="1">
      <c r="A13" s="52" t="n">
        <v>6</v>
      </c>
      <c r="B13" s="12" t="n"/>
      <c r="C13" s="12" t="n"/>
      <c r="D13" s="12" t="n"/>
      <c r="E13" s="12" t="n"/>
      <c r="F13" s="12" t="n"/>
      <c r="G13" s="12" t="n"/>
      <c r="H13" s="12" t="n"/>
      <c r="I13" s="12" t="n"/>
      <c r="J13" s="12" t="n"/>
      <c r="K13" s="12" t="n"/>
      <c r="L13" s="12" t="n"/>
      <c r="M13" s="55" t="n"/>
      <c r="N13" s="12" t="n"/>
    </row>
    <row r="14" ht="28" customHeight="1">
      <c r="A14" s="130" t="n">
        <v>7</v>
      </c>
      <c r="B14" s="131" t="n"/>
      <c r="C14" s="131" t="n"/>
      <c r="D14" s="131" t="n"/>
      <c r="E14" s="131" t="n"/>
      <c r="F14" s="131" t="n"/>
      <c r="G14" s="131" t="n"/>
      <c r="H14" s="131" t="n"/>
      <c r="I14" s="131" t="n"/>
      <c r="J14" s="131" t="n"/>
      <c r="K14" s="131" t="n"/>
      <c r="L14" s="131" t="n"/>
      <c r="M14" s="132" t="n"/>
      <c r="N14" s="131" t="n"/>
    </row>
    <row r="15" ht="28" customHeight="1">
      <c r="A15" s="52" t="n">
        <v>8</v>
      </c>
      <c r="B15" s="12" t="n"/>
      <c r="C15" s="12" t="n"/>
      <c r="D15" s="12" t="n"/>
      <c r="E15" s="12" t="n"/>
      <c r="F15" s="12" t="n"/>
      <c r="G15" s="12" t="n"/>
      <c r="H15" s="12" t="n"/>
      <c r="I15" s="12" t="n"/>
      <c r="J15" s="12" t="n"/>
      <c r="K15" s="12" t="n"/>
      <c r="L15" s="12" t="n"/>
      <c r="M15" s="55" t="n"/>
      <c r="N15" s="12" t="n"/>
    </row>
    <row r="16" ht="28" customHeight="1">
      <c r="A16" s="130" t="n">
        <v>9</v>
      </c>
      <c r="B16" s="131" t="n"/>
      <c r="C16" s="131" t="n"/>
      <c r="D16" s="131" t="n"/>
      <c r="E16" s="131" t="n"/>
      <c r="F16" s="131" t="n"/>
      <c r="G16" s="131" t="n"/>
      <c r="H16" s="131" t="n"/>
      <c r="I16" s="131" t="n"/>
      <c r="J16" s="131" t="n"/>
      <c r="K16" s="131" t="n"/>
      <c r="L16" s="131" t="n"/>
      <c r="M16" s="132" t="n"/>
      <c r="N16" s="131" t="n"/>
    </row>
    <row r="17" ht="28" customHeight="1">
      <c r="A17" s="52" t="n">
        <v>10</v>
      </c>
      <c r="B17" s="12" t="n"/>
      <c r="C17" s="12" t="n"/>
      <c r="D17" s="12" t="n"/>
      <c r="E17" s="12" t="n"/>
      <c r="F17" s="12" t="n"/>
      <c r="G17" s="12" t="n"/>
      <c r="H17" s="12" t="n"/>
      <c r="I17" s="12" t="n"/>
      <c r="J17" s="12" t="n"/>
      <c r="K17" s="12" t="n"/>
      <c r="L17" s="12" t="n"/>
      <c r="M17" s="55" t="n"/>
      <c r="N17" s="12" t="n"/>
    </row>
    <row r="18" ht="28" customHeight="1">
      <c r="A18" s="130" t="n">
        <v>11</v>
      </c>
      <c r="B18" s="131" t="n"/>
      <c r="C18" s="131" t="n"/>
      <c r="D18" s="131" t="n"/>
      <c r="E18" s="131" t="n"/>
      <c r="F18" s="131" t="n"/>
      <c r="G18" s="131" t="n"/>
      <c r="H18" s="131" t="n"/>
      <c r="I18" s="131" t="n"/>
      <c r="J18" s="131" t="n"/>
      <c r="K18" s="131" t="n"/>
      <c r="L18" s="131" t="n"/>
      <c r="M18" s="132" t="n"/>
      <c r="N18" s="131" t="n"/>
    </row>
    <row r="19" ht="28" customHeight="1">
      <c r="A19" s="52" t="n">
        <v>12</v>
      </c>
      <c r="B19" s="12" t="n"/>
      <c r="C19" s="12" t="n"/>
      <c r="D19" s="12" t="n"/>
      <c r="E19" s="12" t="n"/>
      <c r="F19" s="12" t="n"/>
      <c r="G19" s="12" t="n"/>
      <c r="H19" s="12" t="n"/>
      <c r="I19" s="12" t="n"/>
      <c r="J19" s="12" t="n"/>
      <c r="K19" s="12" t="n"/>
      <c r="L19" s="12" t="n"/>
      <c r="M19" s="55" t="n"/>
      <c r="N19" s="12" t="n"/>
    </row>
    <row r="20" ht="28" customHeight="1">
      <c r="A20" s="130" t="n">
        <v>13</v>
      </c>
      <c r="B20" s="131" t="n"/>
      <c r="C20" s="131" t="n"/>
      <c r="D20" s="131" t="n"/>
      <c r="E20" s="131" t="n"/>
      <c r="F20" s="131" t="n"/>
      <c r="G20" s="131" t="n"/>
      <c r="H20" s="131" t="n"/>
      <c r="I20" s="131" t="n"/>
      <c r="J20" s="131" t="n"/>
      <c r="K20" s="131" t="n"/>
      <c r="L20" s="131" t="n"/>
      <c r="M20" s="132" t="n"/>
      <c r="N20" s="131" t="n"/>
    </row>
    <row r="21" ht="28" customHeight="1">
      <c r="A21" s="52" t="n">
        <v>14</v>
      </c>
      <c r="B21" s="12" t="n"/>
      <c r="C21" s="12" t="n"/>
      <c r="D21" s="12" t="n"/>
      <c r="E21" s="12" t="n"/>
      <c r="F21" s="12" t="n"/>
      <c r="G21" s="12" t="n"/>
      <c r="H21" s="12" t="n"/>
      <c r="I21" s="12" t="n"/>
      <c r="J21" s="12" t="n"/>
      <c r="K21" s="12" t="n"/>
      <c r="L21" s="12" t="n"/>
      <c r="M21" s="55" t="n"/>
      <c r="N21" s="12" t="n"/>
    </row>
    <row r="22" ht="28" customHeight="1">
      <c r="A22" s="130" t="n">
        <v>15</v>
      </c>
      <c r="B22" s="131" t="n"/>
      <c r="C22" s="131" t="n"/>
      <c r="D22" s="131" t="n"/>
      <c r="E22" s="131" t="n"/>
      <c r="F22" s="131" t="n"/>
      <c r="G22" s="131" t="n"/>
      <c r="H22" s="131" t="n"/>
      <c r="I22" s="131" t="n"/>
      <c r="J22" s="131" t="n"/>
      <c r="K22" s="131" t="n"/>
      <c r="L22" s="131" t="n"/>
      <c r="M22" s="132" t="n"/>
      <c r="N22" s="131" t="n"/>
    </row>
    <row r="23" ht="28" customHeight="1">
      <c r="A23" s="52" t="n">
        <v>16</v>
      </c>
      <c r="B23" s="12" t="n"/>
      <c r="C23" s="12" t="n"/>
      <c r="D23" s="12" t="n"/>
      <c r="E23" s="12" t="n"/>
      <c r="F23" s="12" t="n"/>
      <c r="G23" s="12" t="n"/>
      <c r="H23" s="12" t="n"/>
      <c r="I23" s="12" t="n"/>
      <c r="J23" s="12" t="n"/>
      <c r="K23" s="12" t="n"/>
      <c r="L23" s="12" t="n"/>
      <c r="M23" s="55" t="n"/>
      <c r="N23" s="12" t="n"/>
    </row>
    <row r="24" ht="28" customHeight="1">
      <c r="A24" s="130" t="n">
        <v>17</v>
      </c>
      <c r="B24" s="131" t="n"/>
      <c r="C24" s="131" t="n"/>
      <c r="D24" s="131" t="n"/>
      <c r="E24" s="131" t="n"/>
      <c r="F24" s="131" t="n"/>
      <c r="G24" s="131" t="n"/>
      <c r="H24" s="131" t="n"/>
      <c r="I24" s="131" t="n"/>
      <c r="J24" s="131" t="n"/>
      <c r="K24" s="131" t="n"/>
      <c r="L24" s="131" t="n"/>
      <c r="M24" s="132" t="n"/>
      <c r="N24" s="131" t="n"/>
    </row>
    <row r="25" ht="28" customHeight="1">
      <c r="A25" s="52" t="n">
        <v>18</v>
      </c>
      <c r="B25" s="12" t="n"/>
      <c r="C25" s="12" t="n"/>
      <c r="D25" s="12" t="n"/>
      <c r="E25" s="12" t="n"/>
      <c r="F25" s="12" t="n"/>
      <c r="G25" s="12" t="n"/>
      <c r="H25" s="12" t="n"/>
      <c r="I25" s="12" t="n"/>
      <c r="J25" s="12" t="n"/>
      <c r="K25" s="12" t="n"/>
      <c r="L25" s="12" t="n"/>
      <c r="M25" s="55" t="n"/>
      <c r="N25" s="12" t="n"/>
    </row>
    <row r="26" ht="28" customHeight="1">
      <c r="A26" s="130" t="n">
        <v>19</v>
      </c>
      <c r="B26" s="131" t="n"/>
      <c r="C26" s="131" t="n"/>
      <c r="D26" s="131" t="n"/>
      <c r="E26" s="131" t="n"/>
      <c r="F26" s="131" t="n"/>
      <c r="G26" s="131" t="n"/>
      <c r="H26" s="131" t="n"/>
      <c r="I26" s="131" t="n"/>
      <c r="J26" s="131" t="n"/>
      <c r="K26" s="131" t="n"/>
      <c r="L26" s="131" t="n"/>
      <c r="M26" s="132" t="n"/>
      <c r="N26" s="131" t="n"/>
    </row>
    <row r="27" ht="28" customHeight="1">
      <c r="A27" s="52" t="n">
        <v>20</v>
      </c>
      <c r="B27" s="12" t="n"/>
      <c r="C27" s="12" t="n"/>
      <c r="D27" s="12" t="n"/>
      <c r="E27" s="12" t="n"/>
      <c r="F27" s="12" t="n"/>
      <c r="G27" s="12" t="n"/>
      <c r="H27" s="12" t="n"/>
      <c r="I27" s="12" t="n"/>
      <c r="J27" s="12" t="n"/>
      <c r="K27" s="12" t="n"/>
      <c r="L27" s="12" t="n"/>
      <c r="M27" s="55" t="n"/>
      <c r="N27" s="12" t="n"/>
    </row>
    <row r="29" ht="24" customHeight="1">
      <c r="A29" s="133" t="inlineStr">
        <is>
          <t>📶  SECTION 2: WIFI ACCESS POINTS — SSID &amp; PASSWORDS</t>
        </is>
      </c>
    </row>
    <row r="30" ht="32" customHeight="1">
      <c r="A30" s="5" t="inlineStr">
        <is>
          <t>#</t>
        </is>
      </c>
      <c r="B30" s="5" t="inlineStr">
        <is>
          <t>Department /
Location</t>
        </is>
      </c>
      <c r="C30" s="5" t="inlineStr">
        <is>
          <t>AP Label
(e.g. AP-01)</t>
        </is>
      </c>
      <c r="D30" s="5" t="inlineStr">
        <is>
          <t>Make / Model</t>
        </is>
      </c>
      <c r="E30" s="5" t="inlineStr">
        <is>
          <t>AP IP Address</t>
        </is>
      </c>
      <c r="F30" s="5" t="inlineStr">
        <is>
          <t>MAC Address</t>
        </is>
      </c>
      <c r="G30" s="5" t="inlineStr">
        <is>
          <t>SSID (Network Name)</t>
        </is>
      </c>
      <c r="H30" s="5" t="inlineStr">
        <is>
          <t>WiFi Password
(mask: ••••xx)</t>
        </is>
      </c>
      <c r="I30" s="5" t="inlineStr">
        <is>
          <t>Security Type
(WPA2/WPA3)</t>
        </is>
      </c>
      <c r="J30" s="5" t="inlineStr">
        <is>
          <t>WiFi Band
(2.4/5GHz)</t>
        </is>
      </c>
      <c r="K30" s="5" t="inlineStr">
        <is>
          <t>VLAN / Network</t>
        </is>
      </c>
      <c r="L30" s="5" t="inlineStr">
        <is>
          <t>Admin Username</t>
        </is>
      </c>
      <c r="M30" s="5" t="inlineStr">
        <is>
          <t>Admin Password
(mask: ••••xx)</t>
        </is>
      </c>
      <c r="N30" s="5" t="inlineStr">
        <is>
          <t>Last Changed</t>
        </is>
      </c>
      <c r="O30" s="5" t="inlineStr">
        <is>
          <t>Notes</t>
        </is>
      </c>
    </row>
    <row r="31" ht="28" customHeight="1">
      <c r="A31" s="52" t="n">
        <v>1</v>
      </c>
      <c r="B31" s="12" t="n"/>
      <c r="C31" s="12" t="n"/>
      <c r="D31" s="12" t="n"/>
      <c r="E31" s="12" t="n"/>
      <c r="F31" s="12" t="n"/>
      <c r="G31" s="12" t="n"/>
      <c r="H31" s="12" t="n"/>
      <c r="I31" s="12" t="n"/>
      <c r="J31" s="12" t="n"/>
      <c r="K31" s="12" t="n"/>
      <c r="L31" s="12" t="n"/>
      <c r="M31" s="12" t="n"/>
      <c r="N31" s="55" t="n"/>
      <c r="O31" s="12" t="n"/>
    </row>
    <row r="32" ht="28" customHeight="1">
      <c r="A32" s="70" t="n">
        <v>2</v>
      </c>
      <c r="B32" s="16" t="n"/>
      <c r="C32" s="16" t="n"/>
      <c r="D32" s="16" t="n"/>
      <c r="E32" s="16" t="n"/>
      <c r="F32" s="16" t="n"/>
      <c r="G32" s="16" t="n"/>
      <c r="H32" s="16" t="n"/>
      <c r="I32" s="16" t="n"/>
      <c r="J32" s="16" t="n"/>
      <c r="K32" s="16" t="n"/>
      <c r="L32" s="16" t="n"/>
      <c r="M32" s="16" t="n"/>
      <c r="N32" s="134" t="n"/>
      <c r="O32" s="16" t="n"/>
    </row>
    <row r="33" ht="28" customHeight="1">
      <c r="A33" s="52" t="n">
        <v>3</v>
      </c>
      <c r="B33" s="12" t="n"/>
      <c r="C33" s="12" t="n"/>
      <c r="D33" s="12" t="n"/>
      <c r="E33" s="12" t="n"/>
      <c r="F33" s="12" t="n"/>
      <c r="G33" s="12" t="n"/>
      <c r="H33" s="12" t="n"/>
      <c r="I33" s="12" t="n"/>
      <c r="J33" s="12" t="n"/>
      <c r="K33" s="12" t="n"/>
      <c r="L33" s="12" t="n"/>
      <c r="M33" s="12" t="n"/>
      <c r="N33" s="55" t="n"/>
      <c r="O33" s="12" t="n"/>
    </row>
    <row r="34" ht="28" customHeight="1">
      <c r="A34" s="70" t="n">
        <v>4</v>
      </c>
      <c r="B34" s="16" t="n"/>
      <c r="C34" s="16" t="n"/>
      <c r="D34" s="16" t="n"/>
      <c r="E34" s="16" t="n"/>
      <c r="F34" s="16" t="n"/>
      <c r="G34" s="16" t="n"/>
      <c r="H34" s="16" t="n"/>
      <c r="I34" s="16" t="n"/>
      <c r="J34" s="16" t="n"/>
      <c r="K34" s="16" t="n"/>
      <c r="L34" s="16" t="n"/>
      <c r="M34" s="16" t="n"/>
      <c r="N34" s="134" t="n"/>
      <c r="O34" s="16" t="n"/>
    </row>
    <row r="35" ht="28" customHeight="1">
      <c r="A35" s="52" t="n">
        <v>5</v>
      </c>
      <c r="B35" s="12" t="n"/>
      <c r="C35" s="12" t="n"/>
      <c r="D35" s="12" t="n"/>
      <c r="E35" s="12" t="n"/>
      <c r="F35" s="12" t="n"/>
      <c r="G35" s="12" t="n"/>
      <c r="H35" s="12" t="n"/>
      <c r="I35" s="12" t="n"/>
      <c r="J35" s="12" t="n"/>
      <c r="K35" s="12" t="n"/>
      <c r="L35" s="12" t="n"/>
      <c r="M35" s="12" t="n"/>
      <c r="N35" s="55" t="n"/>
      <c r="O35" s="12" t="n"/>
    </row>
    <row r="36" ht="28" customHeight="1">
      <c r="A36" s="70" t="n">
        <v>6</v>
      </c>
      <c r="B36" s="16" t="n"/>
      <c r="C36" s="16" t="n"/>
      <c r="D36" s="16" t="n"/>
      <c r="E36" s="16" t="n"/>
      <c r="F36" s="16" t="n"/>
      <c r="G36" s="16" t="n"/>
      <c r="H36" s="16" t="n"/>
      <c r="I36" s="16" t="n"/>
      <c r="J36" s="16" t="n"/>
      <c r="K36" s="16" t="n"/>
      <c r="L36" s="16" t="n"/>
      <c r="M36" s="16" t="n"/>
      <c r="N36" s="134" t="n"/>
      <c r="O36" s="16" t="n"/>
    </row>
    <row r="37" ht="28" customHeight="1">
      <c r="A37" s="52" t="n">
        <v>7</v>
      </c>
      <c r="B37" s="12" t="n"/>
      <c r="C37" s="12" t="n"/>
      <c r="D37" s="12" t="n"/>
      <c r="E37" s="12" t="n"/>
      <c r="F37" s="12" t="n"/>
      <c r="G37" s="12" t="n"/>
      <c r="H37" s="12" t="n"/>
      <c r="I37" s="12" t="n"/>
      <c r="J37" s="12" t="n"/>
      <c r="K37" s="12" t="n"/>
      <c r="L37" s="12" t="n"/>
      <c r="M37" s="12" t="n"/>
      <c r="N37" s="55" t="n"/>
      <c r="O37" s="12" t="n"/>
    </row>
    <row r="38" ht="28" customHeight="1">
      <c r="A38" s="70" t="n">
        <v>8</v>
      </c>
      <c r="B38" s="16" t="n"/>
      <c r="C38" s="16" t="n"/>
      <c r="D38" s="16" t="n"/>
      <c r="E38" s="16" t="n"/>
      <c r="F38" s="16" t="n"/>
      <c r="G38" s="16" t="n"/>
      <c r="H38" s="16" t="n"/>
      <c r="I38" s="16" t="n"/>
      <c r="J38" s="16" t="n"/>
      <c r="K38" s="16" t="n"/>
      <c r="L38" s="16" t="n"/>
      <c r="M38" s="16" t="n"/>
      <c r="N38" s="134" t="n"/>
      <c r="O38" s="16" t="n"/>
    </row>
    <row r="39" ht="28" customHeight="1">
      <c r="A39" s="52" t="n">
        <v>9</v>
      </c>
      <c r="B39" s="12" t="n"/>
      <c r="C39" s="12" t="n"/>
      <c r="D39" s="12" t="n"/>
      <c r="E39" s="12" t="n"/>
      <c r="F39" s="12" t="n"/>
      <c r="G39" s="12" t="n"/>
      <c r="H39" s="12" t="n"/>
      <c r="I39" s="12" t="n"/>
      <c r="J39" s="12" t="n"/>
      <c r="K39" s="12" t="n"/>
      <c r="L39" s="12" t="n"/>
      <c r="M39" s="12" t="n"/>
      <c r="N39" s="55" t="n"/>
      <c r="O39" s="12" t="n"/>
    </row>
    <row r="40" ht="28" customHeight="1">
      <c r="A40" s="70" t="n">
        <v>10</v>
      </c>
      <c r="B40" s="16" t="n"/>
      <c r="C40" s="16" t="n"/>
      <c r="D40" s="16" t="n"/>
      <c r="E40" s="16" t="n"/>
      <c r="F40" s="16" t="n"/>
      <c r="G40" s="16" t="n"/>
      <c r="H40" s="16" t="n"/>
      <c r="I40" s="16" t="n"/>
      <c r="J40" s="16" t="n"/>
      <c r="K40" s="16" t="n"/>
      <c r="L40" s="16" t="n"/>
      <c r="M40" s="16" t="n"/>
      <c r="N40" s="134" t="n"/>
      <c r="O40" s="16" t="n"/>
    </row>
    <row r="41" ht="28" customHeight="1">
      <c r="A41" s="52" t="n">
        <v>11</v>
      </c>
      <c r="B41" s="12" t="n"/>
      <c r="C41" s="12" t="n"/>
      <c r="D41" s="12" t="n"/>
      <c r="E41" s="12" t="n"/>
      <c r="F41" s="12" t="n"/>
      <c r="G41" s="12" t="n"/>
      <c r="H41" s="12" t="n"/>
      <c r="I41" s="12" t="n"/>
      <c r="J41" s="12" t="n"/>
      <c r="K41" s="12" t="n"/>
      <c r="L41" s="12" t="n"/>
      <c r="M41" s="12" t="n"/>
      <c r="N41" s="55" t="n"/>
      <c r="O41" s="12" t="n"/>
    </row>
    <row r="42" ht="28" customHeight="1">
      <c r="A42" s="70" t="n">
        <v>12</v>
      </c>
      <c r="B42" s="16" t="n"/>
      <c r="C42" s="16" t="n"/>
      <c r="D42" s="16" t="n"/>
      <c r="E42" s="16" t="n"/>
      <c r="F42" s="16" t="n"/>
      <c r="G42" s="16" t="n"/>
      <c r="H42" s="16" t="n"/>
      <c r="I42" s="16" t="n"/>
      <c r="J42" s="16" t="n"/>
      <c r="K42" s="16" t="n"/>
      <c r="L42" s="16" t="n"/>
      <c r="M42" s="16" t="n"/>
      <c r="N42" s="134" t="n"/>
      <c r="O42" s="16" t="n"/>
    </row>
    <row r="43" ht="28" customHeight="1">
      <c r="A43" s="52" t="n">
        <v>13</v>
      </c>
      <c r="B43" s="12" t="n"/>
      <c r="C43" s="12" t="n"/>
      <c r="D43" s="12" t="n"/>
      <c r="E43" s="12" t="n"/>
      <c r="F43" s="12" t="n"/>
      <c r="G43" s="12" t="n"/>
      <c r="H43" s="12" t="n"/>
      <c r="I43" s="12" t="n"/>
      <c r="J43" s="12" t="n"/>
      <c r="K43" s="12" t="n"/>
      <c r="L43" s="12" t="n"/>
      <c r="M43" s="12" t="n"/>
      <c r="N43" s="55" t="n"/>
      <c r="O43" s="12" t="n"/>
    </row>
    <row r="44" ht="28" customHeight="1">
      <c r="A44" s="70" t="n">
        <v>14</v>
      </c>
      <c r="B44" s="16" t="n"/>
      <c r="C44" s="16" t="n"/>
      <c r="D44" s="16" t="n"/>
      <c r="E44" s="16" t="n"/>
      <c r="F44" s="16" t="n"/>
      <c r="G44" s="16" t="n"/>
      <c r="H44" s="16" t="n"/>
      <c r="I44" s="16" t="n"/>
      <c r="J44" s="16" t="n"/>
      <c r="K44" s="16" t="n"/>
      <c r="L44" s="16" t="n"/>
      <c r="M44" s="16" t="n"/>
      <c r="N44" s="134" t="n"/>
      <c r="O44" s="16" t="n"/>
    </row>
    <row r="45" ht="28" customHeight="1">
      <c r="A45" s="52" t="n">
        <v>15</v>
      </c>
      <c r="B45" s="12" t="n"/>
      <c r="C45" s="12" t="n"/>
      <c r="D45" s="12" t="n"/>
      <c r="E45" s="12" t="n"/>
      <c r="F45" s="12" t="n"/>
      <c r="G45" s="12" t="n"/>
      <c r="H45" s="12" t="n"/>
      <c r="I45" s="12" t="n"/>
      <c r="J45" s="12" t="n"/>
      <c r="K45" s="12" t="n"/>
      <c r="L45" s="12" t="n"/>
      <c r="M45" s="12" t="n"/>
      <c r="N45" s="55" t="n"/>
      <c r="O45" s="12" t="n"/>
    </row>
    <row r="46" ht="28" customHeight="1">
      <c r="A46" s="70" t="n">
        <v>16</v>
      </c>
      <c r="B46" s="16" t="n"/>
      <c r="C46" s="16" t="n"/>
      <c r="D46" s="16" t="n"/>
      <c r="E46" s="16" t="n"/>
      <c r="F46" s="16" t="n"/>
      <c r="G46" s="16" t="n"/>
      <c r="H46" s="16" t="n"/>
      <c r="I46" s="16" t="n"/>
      <c r="J46" s="16" t="n"/>
      <c r="K46" s="16" t="n"/>
      <c r="L46" s="16" t="n"/>
      <c r="M46" s="16" t="n"/>
      <c r="N46" s="134" t="n"/>
      <c r="O46" s="16" t="n"/>
    </row>
    <row r="47" ht="28" customHeight="1">
      <c r="A47" s="52" t="n">
        <v>17</v>
      </c>
      <c r="B47" s="12" t="n"/>
      <c r="C47" s="12" t="n"/>
      <c r="D47" s="12" t="n"/>
      <c r="E47" s="12" t="n"/>
      <c r="F47" s="12" t="n"/>
      <c r="G47" s="12" t="n"/>
      <c r="H47" s="12" t="n"/>
      <c r="I47" s="12" t="n"/>
      <c r="J47" s="12" t="n"/>
      <c r="K47" s="12" t="n"/>
      <c r="L47" s="12" t="n"/>
      <c r="M47" s="12" t="n"/>
      <c r="N47" s="55" t="n"/>
      <c r="O47" s="12" t="n"/>
    </row>
    <row r="48" ht="28" customHeight="1">
      <c r="A48" s="70" t="n">
        <v>18</v>
      </c>
      <c r="B48" s="16" t="n"/>
      <c r="C48" s="16" t="n"/>
      <c r="D48" s="16" t="n"/>
      <c r="E48" s="16" t="n"/>
      <c r="F48" s="16" t="n"/>
      <c r="G48" s="16" t="n"/>
      <c r="H48" s="16" t="n"/>
      <c r="I48" s="16" t="n"/>
      <c r="J48" s="16" t="n"/>
      <c r="K48" s="16" t="n"/>
      <c r="L48" s="16" t="n"/>
      <c r="M48" s="16" t="n"/>
      <c r="N48" s="134" t="n"/>
      <c r="O48" s="16" t="n"/>
    </row>
    <row r="49" ht="28" customHeight="1">
      <c r="A49" s="52" t="n">
        <v>19</v>
      </c>
      <c r="B49" s="12" t="n"/>
      <c r="C49" s="12" t="n"/>
      <c r="D49" s="12" t="n"/>
      <c r="E49" s="12" t="n"/>
      <c r="F49" s="12" t="n"/>
      <c r="G49" s="12" t="n"/>
      <c r="H49" s="12" t="n"/>
      <c r="I49" s="12" t="n"/>
      <c r="J49" s="12" t="n"/>
      <c r="K49" s="12" t="n"/>
      <c r="L49" s="12" t="n"/>
      <c r="M49" s="12" t="n"/>
      <c r="N49" s="55" t="n"/>
      <c r="O49" s="12" t="n"/>
    </row>
    <row r="50" ht="28" customHeight="1">
      <c r="A50" s="70" t="n">
        <v>20</v>
      </c>
      <c r="B50" s="16" t="n"/>
      <c r="C50" s="16" t="n"/>
      <c r="D50" s="16" t="n"/>
      <c r="E50" s="16" t="n"/>
      <c r="F50" s="16" t="n"/>
      <c r="G50" s="16" t="n"/>
      <c r="H50" s="16" t="n"/>
      <c r="I50" s="16" t="n"/>
      <c r="J50" s="16" t="n"/>
      <c r="K50" s="16" t="n"/>
      <c r="L50" s="16" t="n"/>
      <c r="M50" s="16" t="n"/>
      <c r="N50" s="134" t="n"/>
      <c r="O50" s="16" t="n"/>
    </row>
    <row r="51" ht="28" customHeight="1">
      <c r="A51" s="52" t="n">
        <v>21</v>
      </c>
      <c r="B51" s="12" t="n"/>
      <c r="C51" s="12" t="n"/>
      <c r="D51" s="12" t="n"/>
      <c r="E51" s="12" t="n"/>
      <c r="F51" s="12" t="n"/>
      <c r="G51" s="12" t="n"/>
      <c r="H51" s="12" t="n"/>
      <c r="I51" s="12" t="n"/>
      <c r="J51" s="12" t="n"/>
      <c r="K51" s="12" t="n"/>
      <c r="L51" s="12" t="n"/>
      <c r="M51" s="12" t="n"/>
      <c r="N51" s="55" t="n"/>
      <c r="O51" s="12" t="n"/>
    </row>
    <row r="52" ht="28" customHeight="1">
      <c r="A52" s="70" t="n">
        <v>22</v>
      </c>
      <c r="B52" s="16" t="n"/>
      <c r="C52" s="16" t="n"/>
      <c r="D52" s="16" t="n"/>
      <c r="E52" s="16" t="n"/>
      <c r="F52" s="16" t="n"/>
      <c r="G52" s="16" t="n"/>
      <c r="H52" s="16" t="n"/>
      <c r="I52" s="16" t="n"/>
      <c r="J52" s="16" t="n"/>
      <c r="K52" s="16" t="n"/>
      <c r="L52" s="16" t="n"/>
      <c r="M52" s="16" t="n"/>
      <c r="N52" s="134" t="n"/>
      <c r="O52" s="16" t="n"/>
    </row>
    <row r="53" ht="28" customHeight="1">
      <c r="A53" s="52" t="n">
        <v>23</v>
      </c>
      <c r="B53" s="12" t="n"/>
      <c r="C53" s="12" t="n"/>
      <c r="D53" s="12" t="n"/>
      <c r="E53" s="12" t="n"/>
      <c r="F53" s="12" t="n"/>
      <c r="G53" s="12" t="n"/>
      <c r="H53" s="12" t="n"/>
      <c r="I53" s="12" t="n"/>
      <c r="J53" s="12" t="n"/>
      <c r="K53" s="12" t="n"/>
      <c r="L53" s="12" t="n"/>
      <c r="M53" s="12" t="n"/>
      <c r="N53" s="55" t="n"/>
      <c r="O53" s="12" t="n"/>
    </row>
    <row r="54" ht="28" customHeight="1">
      <c r="A54" s="70" t="n">
        <v>24</v>
      </c>
      <c r="B54" s="16" t="n"/>
      <c r="C54" s="16" t="n"/>
      <c r="D54" s="16" t="n"/>
      <c r="E54" s="16" t="n"/>
      <c r="F54" s="16" t="n"/>
      <c r="G54" s="16" t="n"/>
      <c r="H54" s="16" t="n"/>
      <c r="I54" s="16" t="n"/>
      <c r="J54" s="16" t="n"/>
      <c r="K54" s="16" t="n"/>
      <c r="L54" s="16" t="n"/>
      <c r="M54" s="16" t="n"/>
      <c r="N54" s="134" t="n"/>
      <c r="O54" s="16" t="n"/>
    </row>
    <row r="55" ht="28" customHeight="1">
      <c r="A55" s="52" t="n">
        <v>25</v>
      </c>
      <c r="B55" s="12" t="n"/>
      <c r="C55" s="12" t="n"/>
      <c r="D55" s="12" t="n"/>
      <c r="E55" s="12" t="n"/>
      <c r="F55" s="12" t="n"/>
      <c r="G55" s="12" t="n"/>
      <c r="H55" s="12" t="n"/>
      <c r="I55" s="12" t="n"/>
      <c r="J55" s="12" t="n"/>
      <c r="K55" s="12" t="n"/>
      <c r="L55" s="12" t="n"/>
      <c r="M55" s="12" t="n"/>
      <c r="N55" s="55" t="n"/>
      <c r="O55" s="12" t="n"/>
    </row>
    <row r="57" ht="24" customHeight="1">
      <c r="A57" s="135" t="inlineStr">
        <is>
          <t>📷  SECTION 3: NVR / DVR — CCTV SYSTEMS</t>
        </is>
      </c>
    </row>
    <row r="58" ht="32" customHeight="1">
      <c r="A58" s="136" t="inlineStr">
        <is>
          <t>#</t>
        </is>
      </c>
      <c r="B58" s="136" t="inlineStr">
        <is>
          <t>Department /
Location</t>
        </is>
      </c>
      <c r="C58" s="136" t="inlineStr">
        <is>
          <t>Device Label
(e.g. NVR-01)</t>
        </is>
      </c>
      <c r="D58" s="136" t="inlineStr">
        <is>
          <t>Type
(NVR/DVR)</t>
        </is>
      </c>
      <c r="E58" s="136" t="inlineStr">
        <is>
          <t>Make / Model</t>
        </is>
      </c>
      <c r="F58" s="136" t="inlineStr">
        <is>
          <t>IP Address</t>
        </is>
      </c>
      <c r="G58" s="136" t="inlineStr">
        <is>
          <t>MAC Address</t>
        </is>
      </c>
      <c r="H58" s="136" t="inlineStr">
        <is>
          <t>No. of
Channels</t>
        </is>
      </c>
      <c r="I58" s="136" t="inlineStr">
        <is>
          <t>No. of
Cameras Active</t>
        </is>
      </c>
      <c r="J58" s="136" t="inlineStr">
        <is>
          <t>Admin Username</t>
        </is>
      </c>
      <c r="K58" s="136" t="inlineStr">
        <is>
          <t>Admin Password
(mask: ••••xx)</t>
        </is>
      </c>
      <c r="L58" s="136" t="inlineStr">
        <is>
          <t>Remote View
App / URL</t>
        </is>
      </c>
      <c r="M58" s="136" t="inlineStr">
        <is>
          <t>Remote View
Username</t>
        </is>
      </c>
      <c r="N58" s="136" t="inlineStr">
        <is>
          <t>Remote View
Password (mask)</t>
        </is>
      </c>
      <c r="O58" s="136" t="inlineStr">
        <is>
          <t>HDD Size
(TB)</t>
        </is>
      </c>
      <c r="P58" s="136" t="inlineStr">
        <is>
          <t>Recording
Retention (days)</t>
        </is>
      </c>
      <c r="Q58" s="136" t="inlineStr">
        <is>
          <t>Last Changed</t>
        </is>
      </c>
      <c r="R58" s="136" t="inlineStr">
        <is>
          <t>Notes</t>
        </is>
      </c>
    </row>
    <row r="59" ht="28" customHeight="1">
      <c r="A59" s="52" t="n">
        <v>1</v>
      </c>
      <c r="B59" s="12" t="n"/>
      <c r="C59" s="12" t="n"/>
      <c r="D59" s="12" t="n"/>
      <c r="E59" s="12" t="n"/>
      <c r="F59" s="12" t="n"/>
      <c r="G59" s="12" t="n"/>
      <c r="H59" s="12" t="n"/>
      <c r="I59" s="12" t="n"/>
      <c r="J59" s="12" t="n"/>
      <c r="K59" s="12" t="n"/>
      <c r="L59" s="12" t="n"/>
      <c r="M59" s="12" t="n"/>
      <c r="N59" s="12" t="n"/>
      <c r="O59" s="12" t="n"/>
      <c r="P59" s="12" t="n"/>
      <c r="Q59" s="55" t="n"/>
      <c r="R59" s="12" t="n"/>
    </row>
    <row r="60" ht="28" customHeight="1">
      <c r="A60" s="80" t="n">
        <v>2</v>
      </c>
      <c r="B60" s="14" t="n"/>
      <c r="C60" s="14" t="n"/>
      <c r="D60" s="14" t="n"/>
      <c r="E60" s="14" t="n"/>
      <c r="F60" s="14" t="n"/>
      <c r="G60" s="14" t="n"/>
      <c r="H60" s="14" t="n"/>
      <c r="I60" s="14" t="n"/>
      <c r="J60" s="14" t="n"/>
      <c r="K60" s="14" t="n"/>
      <c r="L60" s="14" t="n"/>
      <c r="M60" s="14" t="n"/>
      <c r="N60" s="14" t="n"/>
      <c r="O60" s="14" t="n"/>
      <c r="P60" s="14" t="n"/>
      <c r="Q60" s="82" t="n"/>
      <c r="R60" s="14" t="n"/>
    </row>
    <row r="61" ht="28" customHeight="1">
      <c r="A61" s="52" t="n">
        <v>3</v>
      </c>
      <c r="B61" s="12" t="n"/>
      <c r="C61" s="12" t="n"/>
      <c r="D61" s="12" t="n"/>
      <c r="E61" s="12" t="n"/>
      <c r="F61" s="12" t="n"/>
      <c r="G61" s="12" t="n"/>
      <c r="H61" s="12" t="n"/>
      <c r="I61" s="12" t="n"/>
      <c r="J61" s="12" t="n"/>
      <c r="K61" s="12" t="n"/>
      <c r="L61" s="12" t="n"/>
      <c r="M61" s="12" t="n"/>
      <c r="N61" s="12" t="n"/>
      <c r="O61" s="12" t="n"/>
      <c r="P61" s="12" t="n"/>
      <c r="Q61" s="55" t="n"/>
      <c r="R61" s="12" t="n"/>
    </row>
    <row r="62" ht="28" customHeight="1">
      <c r="A62" s="80" t="n">
        <v>4</v>
      </c>
      <c r="B62" s="14" t="n"/>
      <c r="C62" s="14" t="n"/>
      <c r="D62" s="14" t="n"/>
      <c r="E62" s="14" t="n"/>
      <c r="F62" s="14" t="n"/>
      <c r="G62" s="14" t="n"/>
      <c r="H62" s="14" t="n"/>
      <c r="I62" s="14" t="n"/>
      <c r="J62" s="14" t="n"/>
      <c r="K62" s="14" t="n"/>
      <c r="L62" s="14" t="n"/>
      <c r="M62" s="14" t="n"/>
      <c r="N62" s="14" t="n"/>
      <c r="O62" s="14" t="n"/>
      <c r="P62" s="14" t="n"/>
      <c r="Q62" s="82" t="n"/>
      <c r="R62" s="14" t="n"/>
    </row>
    <row r="63" ht="28" customHeight="1">
      <c r="A63" s="52" t="n">
        <v>5</v>
      </c>
      <c r="B63" s="12" t="n"/>
      <c r="C63" s="12" t="n"/>
      <c r="D63" s="12" t="n"/>
      <c r="E63" s="12" t="n"/>
      <c r="F63" s="12" t="n"/>
      <c r="G63" s="12" t="n"/>
      <c r="H63" s="12" t="n"/>
      <c r="I63" s="12" t="n"/>
      <c r="J63" s="12" t="n"/>
      <c r="K63" s="12" t="n"/>
      <c r="L63" s="12" t="n"/>
      <c r="M63" s="12" t="n"/>
      <c r="N63" s="12" t="n"/>
      <c r="O63" s="12" t="n"/>
      <c r="P63" s="12" t="n"/>
      <c r="Q63" s="55" t="n"/>
      <c r="R63" s="12" t="n"/>
    </row>
    <row r="64" ht="28" customHeight="1">
      <c r="A64" s="80" t="n">
        <v>6</v>
      </c>
      <c r="B64" s="14" t="n"/>
      <c r="C64" s="14" t="n"/>
      <c r="D64" s="14" t="n"/>
      <c r="E64" s="14" t="n"/>
      <c r="F64" s="14" t="n"/>
      <c r="G64" s="14" t="n"/>
      <c r="H64" s="14" t="n"/>
      <c r="I64" s="14" t="n"/>
      <c r="J64" s="14" t="n"/>
      <c r="K64" s="14" t="n"/>
      <c r="L64" s="14" t="n"/>
      <c r="M64" s="14" t="n"/>
      <c r="N64" s="14" t="n"/>
      <c r="O64" s="14" t="n"/>
      <c r="P64" s="14" t="n"/>
      <c r="Q64" s="82" t="n"/>
      <c r="R64" s="14" t="n"/>
    </row>
    <row r="65" ht="28" customHeight="1">
      <c r="A65" s="52" t="n">
        <v>7</v>
      </c>
      <c r="B65" s="12" t="n"/>
      <c r="C65" s="12" t="n"/>
      <c r="D65" s="12" t="n"/>
      <c r="E65" s="12" t="n"/>
      <c r="F65" s="12" t="n"/>
      <c r="G65" s="12" t="n"/>
      <c r="H65" s="12" t="n"/>
      <c r="I65" s="12" t="n"/>
      <c r="J65" s="12" t="n"/>
      <c r="K65" s="12" t="n"/>
      <c r="L65" s="12" t="n"/>
      <c r="M65" s="12" t="n"/>
      <c r="N65" s="12" t="n"/>
      <c r="O65" s="12" t="n"/>
      <c r="P65" s="12" t="n"/>
      <c r="Q65" s="55" t="n"/>
      <c r="R65" s="12" t="n"/>
    </row>
    <row r="66" ht="28" customHeight="1">
      <c r="A66" s="80" t="n">
        <v>8</v>
      </c>
      <c r="B66" s="14" t="n"/>
      <c r="C66" s="14" t="n"/>
      <c r="D66" s="14" t="n"/>
      <c r="E66" s="14" t="n"/>
      <c r="F66" s="14" t="n"/>
      <c r="G66" s="14" t="n"/>
      <c r="H66" s="14" t="n"/>
      <c r="I66" s="14" t="n"/>
      <c r="J66" s="14" t="n"/>
      <c r="K66" s="14" t="n"/>
      <c r="L66" s="14" t="n"/>
      <c r="M66" s="14" t="n"/>
      <c r="N66" s="14" t="n"/>
      <c r="O66" s="14" t="n"/>
      <c r="P66" s="14" t="n"/>
      <c r="Q66" s="82" t="n"/>
      <c r="R66" s="14" t="n"/>
    </row>
    <row r="67" ht="28" customHeight="1">
      <c r="A67" s="52" t="n">
        <v>9</v>
      </c>
      <c r="B67" s="12" t="n"/>
      <c r="C67" s="12" t="n"/>
      <c r="D67" s="12" t="n"/>
      <c r="E67" s="12" t="n"/>
      <c r="F67" s="12" t="n"/>
      <c r="G67" s="12" t="n"/>
      <c r="H67" s="12" t="n"/>
      <c r="I67" s="12" t="n"/>
      <c r="J67" s="12" t="n"/>
      <c r="K67" s="12" t="n"/>
      <c r="L67" s="12" t="n"/>
      <c r="M67" s="12" t="n"/>
      <c r="N67" s="12" t="n"/>
      <c r="O67" s="12" t="n"/>
      <c r="P67" s="12" t="n"/>
      <c r="Q67" s="55" t="n"/>
      <c r="R67" s="12" t="n"/>
    </row>
    <row r="68" ht="28" customHeight="1">
      <c r="A68" s="80" t="n">
        <v>10</v>
      </c>
      <c r="B68" s="14" t="n"/>
      <c r="C68" s="14" t="n"/>
      <c r="D68" s="14" t="n"/>
      <c r="E68" s="14" t="n"/>
      <c r="F68" s="14" t="n"/>
      <c r="G68" s="14" t="n"/>
      <c r="H68" s="14" t="n"/>
      <c r="I68" s="14" t="n"/>
      <c r="J68" s="14" t="n"/>
      <c r="K68" s="14" t="n"/>
      <c r="L68" s="14" t="n"/>
      <c r="M68" s="14" t="n"/>
      <c r="N68" s="14" t="n"/>
      <c r="O68" s="14" t="n"/>
      <c r="P68" s="14" t="n"/>
      <c r="Q68" s="82" t="n"/>
      <c r="R68" s="14" t="n"/>
    </row>
    <row r="69" ht="28" customHeight="1">
      <c r="A69" s="52" t="n">
        <v>11</v>
      </c>
      <c r="B69" s="12" t="n"/>
      <c r="C69" s="12" t="n"/>
      <c r="D69" s="12" t="n"/>
      <c r="E69" s="12" t="n"/>
      <c r="F69" s="12" t="n"/>
      <c r="G69" s="12" t="n"/>
      <c r="H69" s="12" t="n"/>
      <c r="I69" s="12" t="n"/>
      <c r="J69" s="12" t="n"/>
      <c r="K69" s="12" t="n"/>
      <c r="L69" s="12" t="n"/>
      <c r="M69" s="12" t="n"/>
      <c r="N69" s="12" t="n"/>
      <c r="O69" s="12" t="n"/>
      <c r="P69" s="12" t="n"/>
      <c r="Q69" s="55" t="n"/>
      <c r="R69" s="12" t="n"/>
    </row>
    <row r="70" ht="28" customHeight="1">
      <c r="A70" s="80" t="n">
        <v>12</v>
      </c>
      <c r="B70" s="14" t="n"/>
      <c r="C70" s="14" t="n"/>
      <c r="D70" s="14" t="n"/>
      <c r="E70" s="14" t="n"/>
      <c r="F70" s="14" t="n"/>
      <c r="G70" s="14" t="n"/>
      <c r="H70" s="14" t="n"/>
      <c r="I70" s="14" t="n"/>
      <c r="J70" s="14" t="n"/>
      <c r="K70" s="14" t="n"/>
      <c r="L70" s="14" t="n"/>
      <c r="M70" s="14" t="n"/>
      <c r="N70" s="14" t="n"/>
      <c r="O70" s="14" t="n"/>
      <c r="P70" s="14" t="n"/>
      <c r="Q70" s="82" t="n"/>
      <c r="R70" s="14" t="n"/>
    </row>
    <row r="71" ht="28" customHeight="1">
      <c r="A71" s="52" t="n">
        <v>13</v>
      </c>
      <c r="B71" s="12" t="n"/>
      <c r="C71" s="12" t="n"/>
      <c r="D71" s="12" t="n"/>
      <c r="E71" s="12" t="n"/>
      <c r="F71" s="12" t="n"/>
      <c r="G71" s="12" t="n"/>
      <c r="H71" s="12" t="n"/>
      <c r="I71" s="12" t="n"/>
      <c r="J71" s="12" t="n"/>
      <c r="K71" s="12" t="n"/>
      <c r="L71" s="12" t="n"/>
      <c r="M71" s="12" t="n"/>
      <c r="N71" s="12" t="n"/>
      <c r="O71" s="12" t="n"/>
      <c r="P71" s="12" t="n"/>
      <c r="Q71" s="55" t="n"/>
      <c r="R71" s="12" t="n"/>
    </row>
    <row r="72" ht="28" customHeight="1">
      <c r="A72" s="80" t="n">
        <v>14</v>
      </c>
      <c r="B72" s="14" t="n"/>
      <c r="C72" s="14" t="n"/>
      <c r="D72" s="14" t="n"/>
      <c r="E72" s="14" t="n"/>
      <c r="F72" s="14" t="n"/>
      <c r="G72" s="14" t="n"/>
      <c r="H72" s="14" t="n"/>
      <c r="I72" s="14" t="n"/>
      <c r="J72" s="14" t="n"/>
      <c r="K72" s="14" t="n"/>
      <c r="L72" s="14" t="n"/>
      <c r="M72" s="14" t="n"/>
      <c r="N72" s="14" t="n"/>
      <c r="O72" s="14" t="n"/>
      <c r="P72" s="14" t="n"/>
      <c r="Q72" s="82" t="n"/>
      <c r="R72" s="14" t="n"/>
    </row>
    <row r="73" ht="28" customHeight="1">
      <c r="A73" s="52" t="n">
        <v>15</v>
      </c>
      <c r="B73" s="12" t="n"/>
      <c r="C73" s="12" t="n"/>
      <c r="D73" s="12" t="n"/>
      <c r="E73" s="12" t="n"/>
      <c r="F73" s="12" t="n"/>
      <c r="G73" s="12" t="n"/>
      <c r="H73" s="12" t="n"/>
      <c r="I73" s="12" t="n"/>
      <c r="J73" s="12" t="n"/>
      <c r="K73" s="12" t="n"/>
      <c r="L73" s="12" t="n"/>
      <c r="M73" s="12" t="n"/>
      <c r="N73" s="12" t="n"/>
      <c r="O73" s="12" t="n"/>
      <c r="P73" s="12" t="n"/>
      <c r="Q73" s="55" t="n"/>
      <c r="R73" s="12" t="n"/>
    </row>
    <row r="74" ht="28" customHeight="1">
      <c r="A74" s="80" t="n">
        <v>16</v>
      </c>
      <c r="B74" s="14" t="n"/>
      <c r="C74" s="14" t="n"/>
      <c r="D74" s="14" t="n"/>
      <c r="E74" s="14" t="n"/>
      <c r="F74" s="14" t="n"/>
      <c r="G74" s="14" t="n"/>
      <c r="H74" s="14" t="n"/>
      <c r="I74" s="14" t="n"/>
      <c r="J74" s="14" t="n"/>
      <c r="K74" s="14" t="n"/>
      <c r="L74" s="14" t="n"/>
      <c r="M74" s="14" t="n"/>
      <c r="N74" s="14" t="n"/>
      <c r="O74" s="14" t="n"/>
      <c r="P74" s="14" t="n"/>
      <c r="Q74" s="82" t="n"/>
      <c r="R74" s="14" t="n"/>
    </row>
    <row r="75" ht="28" customHeight="1">
      <c r="A75" s="52" t="n">
        <v>17</v>
      </c>
      <c r="B75" s="12" t="n"/>
      <c r="C75" s="12" t="n"/>
      <c r="D75" s="12" t="n"/>
      <c r="E75" s="12" t="n"/>
      <c r="F75" s="12" t="n"/>
      <c r="G75" s="12" t="n"/>
      <c r="H75" s="12" t="n"/>
      <c r="I75" s="12" t="n"/>
      <c r="J75" s="12" t="n"/>
      <c r="K75" s="12" t="n"/>
      <c r="L75" s="12" t="n"/>
      <c r="M75" s="12" t="n"/>
      <c r="N75" s="12" t="n"/>
      <c r="O75" s="12" t="n"/>
      <c r="P75" s="12" t="n"/>
      <c r="Q75" s="55" t="n"/>
      <c r="R75" s="12" t="n"/>
    </row>
    <row r="76" ht="28" customHeight="1">
      <c r="A76" s="80" t="n">
        <v>18</v>
      </c>
      <c r="B76" s="14" t="n"/>
      <c r="C76" s="14" t="n"/>
      <c r="D76" s="14" t="n"/>
      <c r="E76" s="14" t="n"/>
      <c r="F76" s="14" t="n"/>
      <c r="G76" s="14" t="n"/>
      <c r="H76" s="14" t="n"/>
      <c r="I76" s="14" t="n"/>
      <c r="J76" s="14" t="n"/>
      <c r="K76" s="14" t="n"/>
      <c r="L76" s="14" t="n"/>
      <c r="M76" s="14" t="n"/>
      <c r="N76" s="14" t="n"/>
      <c r="O76" s="14" t="n"/>
      <c r="P76" s="14" t="n"/>
      <c r="Q76" s="82" t="n"/>
      <c r="R76" s="14" t="n"/>
    </row>
    <row r="77" ht="28" customHeight="1">
      <c r="A77" s="52" t="n">
        <v>19</v>
      </c>
      <c r="B77" s="12" t="n"/>
      <c r="C77" s="12" t="n"/>
      <c r="D77" s="12" t="n"/>
      <c r="E77" s="12" t="n"/>
      <c r="F77" s="12" t="n"/>
      <c r="G77" s="12" t="n"/>
      <c r="H77" s="12" t="n"/>
      <c r="I77" s="12" t="n"/>
      <c r="J77" s="12" t="n"/>
      <c r="K77" s="12" t="n"/>
      <c r="L77" s="12" t="n"/>
      <c r="M77" s="12" t="n"/>
      <c r="N77" s="12" t="n"/>
      <c r="O77" s="12" t="n"/>
      <c r="P77" s="12" t="n"/>
      <c r="Q77" s="55" t="n"/>
      <c r="R77" s="12" t="n"/>
    </row>
    <row r="78" ht="28" customHeight="1">
      <c r="A78" s="80" t="n">
        <v>20</v>
      </c>
      <c r="B78" s="14" t="n"/>
      <c r="C78" s="14" t="n"/>
      <c r="D78" s="14" t="n"/>
      <c r="E78" s="14" t="n"/>
      <c r="F78" s="14" t="n"/>
      <c r="G78" s="14" t="n"/>
      <c r="H78" s="14" t="n"/>
      <c r="I78" s="14" t="n"/>
      <c r="J78" s="14" t="n"/>
      <c r="K78" s="14" t="n"/>
      <c r="L78" s="14" t="n"/>
      <c r="M78" s="14" t="n"/>
      <c r="N78" s="14" t="n"/>
      <c r="O78" s="14" t="n"/>
      <c r="P78" s="14" t="n"/>
      <c r="Q78" s="82" t="n"/>
      <c r="R78" s="14" t="n"/>
    </row>
    <row r="80" ht="24" customHeight="1">
      <c r="A80" s="137" t="inlineStr">
        <is>
          <t>🖥  SECTION 4: COMPUTERS &amp; MACHINES — LOCAL LOGIN CREDENTIALS</t>
        </is>
      </c>
    </row>
    <row r="81" ht="32" customHeight="1">
      <c r="A81" s="11" t="inlineStr">
        <is>
          <t>#</t>
        </is>
      </c>
      <c r="B81" s="11" t="inlineStr">
        <is>
          <t>Department /
Location</t>
        </is>
      </c>
      <c r="C81" s="11" t="inlineStr">
        <is>
          <t>Computer Name
/ Hostname</t>
        </is>
      </c>
      <c r="D81" s="11" t="inlineStr">
        <is>
          <t>Asset Tag</t>
        </is>
      </c>
      <c r="E81" s="11" t="inlineStr">
        <is>
          <t>Type
(Desktop/Laptop)</t>
        </is>
      </c>
      <c r="F81" s="11" t="inlineStr">
        <is>
          <t>OS / Version</t>
        </is>
      </c>
      <c r="G81" s="11" t="inlineStr">
        <is>
          <t>IP Address
(Static/DHCP)</t>
        </is>
      </c>
      <c r="H81" s="11" t="inlineStr">
        <is>
          <t>MAC Address</t>
        </is>
      </c>
      <c r="I81" s="11" t="inlineStr">
        <is>
          <t>Local Username</t>
        </is>
      </c>
      <c r="J81" s="11" t="inlineStr">
        <is>
          <t>Local Password
(mask: ••••xx)</t>
        </is>
      </c>
      <c r="K81" s="11" t="inlineStr">
        <is>
          <t>Domain / Workgroup</t>
        </is>
      </c>
      <c r="L81" s="11" t="inlineStr">
        <is>
          <t>Domain Username</t>
        </is>
      </c>
      <c r="M81" s="11" t="inlineStr">
        <is>
          <t>Domain Password
(mask)</t>
        </is>
      </c>
      <c r="N81" s="11" t="inlineStr">
        <is>
          <t>Remote Desktop
Enabled (Y/N)</t>
        </is>
      </c>
      <c r="O81" s="11" t="inlineStr">
        <is>
          <t>BitLocker /
Encryption Key hint</t>
        </is>
      </c>
      <c r="P81" s="11" t="inlineStr">
        <is>
          <t>Assigned To</t>
        </is>
      </c>
      <c r="Q81" s="11" t="inlineStr">
        <is>
          <t>Last Changed</t>
        </is>
      </c>
      <c r="R81" s="11" t="inlineStr">
        <is>
          <t>Notes</t>
        </is>
      </c>
    </row>
    <row r="82" ht="28" customHeight="1">
      <c r="A82" s="130" t="n">
        <v>1</v>
      </c>
      <c r="B82" s="131" t="n"/>
      <c r="C82" s="131" t="n"/>
      <c r="D82" s="131" t="n"/>
      <c r="E82" s="131" t="n"/>
      <c r="F82" s="131" t="n"/>
      <c r="G82" s="131" t="n"/>
      <c r="H82" s="131" t="n"/>
      <c r="I82" s="131" t="n"/>
      <c r="J82" s="131" t="n"/>
      <c r="K82" s="131" t="n"/>
      <c r="L82" s="131" t="n"/>
      <c r="M82" s="131" t="n"/>
      <c r="N82" s="131" t="n"/>
      <c r="O82" s="131" t="n"/>
      <c r="P82" s="131" t="n"/>
      <c r="Q82" s="132" t="n"/>
      <c r="R82" s="131" t="n"/>
    </row>
    <row r="83" ht="28" customHeight="1">
      <c r="A83" s="52" t="n">
        <v>2</v>
      </c>
      <c r="B83" s="12" t="n"/>
      <c r="C83" s="12" t="n"/>
      <c r="D83" s="12" t="n"/>
      <c r="E83" s="12" t="n"/>
      <c r="F83" s="12" t="n"/>
      <c r="G83" s="12" t="n"/>
      <c r="H83" s="12" t="n"/>
      <c r="I83" s="12" t="n"/>
      <c r="J83" s="12" t="n"/>
      <c r="K83" s="12" t="n"/>
      <c r="L83" s="12" t="n"/>
      <c r="M83" s="12" t="n"/>
      <c r="N83" s="12" t="n"/>
      <c r="O83" s="12" t="n"/>
      <c r="P83" s="12" t="n"/>
      <c r="Q83" s="55" t="n"/>
      <c r="R83" s="12" t="n"/>
    </row>
    <row r="84" ht="28" customHeight="1">
      <c r="A84" s="130" t="n">
        <v>3</v>
      </c>
      <c r="B84" s="131" t="n"/>
      <c r="C84" s="131" t="n"/>
      <c r="D84" s="131" t="n"/>
      <c r="E84" s="131" t="n"/>
      <c r="F84" s="131" t="n"/>
      <c r="G84" s="131" t="n"/>
      <c r="H84" s="131" t="n"/>
      <c r="I84" s="131" t="n"/>
      <c r="J84" s="131" t="n"/>
      <c r="K84" s="131" t="n"/>
      <c r="L84" s="131" t="n"/>
      <c r="M84" s="131" t="n"/>
      <c r="N84" s="131" t="n"/>
      <c r="O84" s="131" t="n"/>
      <c r="P84" s="131" t="n"/>
      <c r="Q84" s="132" t="n"/>
      <c r="R84" s="131" t="n"/>
    </row>
    <row r="85" ht="28" customHeight="1">
      <c r="A85" s="52" t="n">
        <v>4</v>
      </c>
      <c r="B85" s="12" t="n"/>
      <c r="C85" s="12" t="n"/>
      <c r="D85" s="12" t="n"/>
      <c r="E85" s="12" t="n"/>
      <c r="F85" s="12" t="n"/>
      <c r="G85" s="12" t="n"/>
      <c r="H85" s="12" t="n"/>
      <c r="I85" s="12" t="n"/>
      <c r="J85" s="12" t="n"/>
      <c r="K85" s="12" t="n"/>
      <c r="L85" s="12" t="n"/>
      <c r="M85" s="12" t="n"/>
      <c r="N85" s="12" t="n"/>
      <c r="O85" s="12" t="n"/>
      <c r="P85" s="12" t="n"/>
      <c r="Q85" s="55" t="n"/>
      <c r="R85" s="12" t="n"/>
    </row>
    <row r="86" ht="28" customHeight="1">
      <c r="A86" s="130" t="n">
        <v>5</v>
      </c>
      <c r="B86" s="131" t="n"/>
      <c r="C86" s="131" t="n"/>
      <c r="D86" s="131" t="n"/>
      <c r="E86" s="131" t="n"/>
      <c r="F86" s="131" t="n"/>
      <c r="G86" s="131" t="n"/>
      <c r="H86" s="131" t="n"/>
      <c r="I86" s="131" t="n"/>
      <c r="J86" s="131" t="n"/>
      <c r="K86" s="131" t="n"/>
      <c r="L86" s="131" t="n"/>
      <c r="M86" s="131" t="n"/>
      <c r="N86" s="131" t="n"/>
      <c r="O86" s="131" t="n"/>
      <c r="P86" s="131" t="n"/>
      <c r="Q86" s="132" t="n"/>
      <c r="R86" s="131" t="n"/>
    </row>
    <row r="87" ht="28" customHeight="1">
      <c r="A87" s="52" t="n">
        <v>6</v>
      </c>
      <c r="B87" s="12" t="n"/>
      <c r="C87" s="12" t="n"/>
      <c r="D87" s="12" t="n"/>
      <c r="E87" s="12" t="n"/>
      <c r="F87" s="12" t="n"/>
      <c r="G87" s="12" t="n"/>
      <c r="H87" s="12" t="n"/>
      <c r="I87" s="12" t="n"/>
      <c r="J87" s="12" t="n"/>
      <c r="K87" s="12" t="n"/>
      <c r="L87" s="12" t="n"/>
      <c r="M87" s="12" t="n"/>
      <c r="N87" s="12" t="n"/>
      <c r="O87" s="12" t="n"/>
      <c r="P87" s="12" t="n"/>
      <c r="Q87" s="55" t="n"/>
      <c r="R87" s="12" t="n"/>
    </row>
    <row r="88" ht="28" customHeight="1">
      <c r="A88" s="130" t="n">
        <v>7</v>
      </c>
      <c r="B88" s="131" t="n"/>
      <c r="C88" s="131" t="n"/>
      <c r="D88" s="131" t="n"/>
      <c r="E88" s="131" t="n"/>
      <c r="F88" s="131" t="n"/>
      <c r="G88" s="131" t="n"/>
      <c r="H88" s="131" t="n"/>
      <c r="I88" s="131" t="n"/>
      <c r="J88" s="131" t="n"/>
      <c r="K88" s="131" t="n"/>
      <c r="L88" s="131" t="n"/>
      <c r="M88" s="131" t="n"/>
      <c r="N88" s="131" t="n"/>
      <c r="O88" s="131" t="n"/>
      <c r="P88" s="131" t="n"/>
      <c r="Q88" s="132" t="n"/>
      <c r="R88" s="131" t="n"/>
    </row>
    <row r="89" ht="28" customHeight="1">
      <c r="A89" s="52" t="n">
        <v>8</v>
      </c>
      <c r="B89" s="12" t="n"/>
      <c r="C89" s="12" t="n"/>
      <c r="D89" s="12" t="n"/>
      <c r="E89" s="12" t="n"/>
      <c r="F89" s="12" t="n"/>
      <c r="G89" s="12" t="n"/>
      <c r="H89" s="12" t="n"/>
      <c r="I89" s="12" t="n"/>
      <c r="J89" s="12" t="n"/>
      <c r="K89" s="12" t="n"/>
      <c r="L89" s="12" t="n"/>
      <c r="M89" s="12" t="n"/>
      <c r="N89" s="12" t="n"/>
      <c r="O89" s="12" t="n"/>
      <c r="P89" s="12" t="n"/>
      <c r="Q89" s="55" t="n"/>
      <c r="R89" s="12" t="n"/>
    </row>
    <row r="90" ht="28" customHeight="1">
      <c r="A90" s="130" t="n">
        <v>9</v>
      </c>
      <c r="B90" s="131" t="n"/>
      <c r="C90" s="131" t="n"/>
      <c r="D90" s="131" t="n"/>
      <c r="E90" s="131" t="n"/>
      <c r="F90" s="131" t="n"/>
      <c r="G90" s="131" t="n"/>
      <c r="H90" s="131" t="n"/>
      <c r="I90" s="131" t="n"/>
      <c r="J90" s="131" t="n"/>
      <c r="K90" s="131" t="n"/>
      <c r="L90" s="131" t="n"/>
      <c r="M90" s="131" t="n"/>
      <c r="N90" s="131" t="n"/>
      <c r="O90" s="131" t="n"/>
      <c r="P90" s="131" t="n"/>
      <c r="Q90" s="132" t="n"/>
      <c r="R90" s="131" t="n"/>
    </row>
    <row r="91" ht="28" customHeight="1">
      <c r="A91" s="52" t="n">
        <v>10</v>
      </c>
      <c r="B91" s="12" t="n"/>
      <c r="C91" s="12" t="n"/>
      <c r="D91" s="12" t="n"/>
      <c r="E91" s="12" t="n"/>
      <c r="F91" s="12" t="n"/>
      <c r="G91" s="12" t="n"/>
      <c r="H91" s="12" t="n"/>
      <c r="I91" s="12" t="n"/>
      <c r="J91" s="12" t="n"/>
      <c r="K91" s="12" t="n"/>
      <c r="L91" s="12" t="n"/>
      <c r="M91" s="12" t="n"/>
      <c r="N91" s="12" t="n"/>
      <c r="O91" s="12" t="n"/>
      <c r="P91" s="12" t="n"/>
      <c r="Q91" s="55" t="n"/>
      <c r="R91" s="12" t="n"/>
    </row>
    <row r="92" ht="28" customHeight="1">
      <c r="A92" s="130" t="n">
        <v>11</v>
      </c>
      <c r="B92" s="131" t="n"/>
      <c r="C92" s="131" t="n"/>
      <c r="D92" s="131" t="n"/>
      <c r="E92" s="131" t="n"/>
      <c r="F92" s="131" t="n"/>
      <c r="G92" s="131" t="n"/>
      <c r="H92" s="131" t="n"/>
      <c r="I92" s="131" t="n"/>
      <c r="J92" s="131" t="n"/>
      <c r="K92" s="131" t="n"/>
      <c r="L92" s="131" t="n"/>
      <c r="M92" s="131" t="n"/>
      <c r="N92" s="131" t="n"/>
      <c r="O92" s="131" t="n"/>
      <c r="P92" s="131" t="n"/>
      <c r="Q92" s="132" t="n"/>
      <c r="R92" s="131" t="n"/>
    </row>
    <row r="93" ht="28" customHeight="1">
      <c r="A93" s="52" t="n">
        <v>12</v>
      </c>
      <c r="B93" s="12" t="n"/>
      <c r="C93" s="12" t="n"/>
      <c r="D93" s="12" t="n"/>
      <c r="E93" s="12" t="n"/>
      <c r="F93" s="12" t="n"/>
      <c r="G93" s="12" t="n"/>
      <c r="H93" s="12" t="n"/>
      <c r="I93" s="12" t="n"/>
      <c r="J93" s="12" t="n"/>
      <c r="K93" s="12" t="n"/>
      <c r="L93" s="12" t="n"/>
      <c r="M93" s="12" t="n"/>
      <c r="N93" s="12" t="n"/>
      <c r="O93" s="12" t="n"/>
      <c r="P93" s="12" t="n"/>
      <c r="Q93" s="55" t="n"/>
      <c r="R93" s="12" t="n"/>
    </row>
    <row r="94" ht="28" customHeight="1">
      <c r="A94" s="130" t="n">
        <v>13</v>
      </c>
      <c r="B94" s="131" t="n"/>
      <c r="C94" s="131" t="n"/>
      <c r="D94" s="131" t="n"/>
      <c r="E94" s="131" t="n"/>
      <c r="F94" s="131" t="n"/>
      <c r="G94" s="131" t="n"/>
      <c r="H94" s="131" t="n"/>
      <c r="I94" s="131" t="n"/>
      <c r="J94" s="131" t="n"/>
      <c r="K94" s="131" t="n"/>
      <c r="L94" s="131" t="n"/>
      <c r="M94" s="131" t="n"/>
      <c r="N94" s="131" t="n"/>
      <c r="O94" s="131" t="n"/>
      <c r="P94" s="131" t="n"/>
      <c r="Q94" s="132" t="n"/>
      <c r="R94" s="131" t="n"/>
    </row>
    <row r="95" ht="28" customHeight="1">
      <c r="A95" s="52" t="n">
        <v>14</v>
      </c>
      <c r="B95" s="12" t="n"/>
      <c r="C95" s="12" t="n"/>
      <c r="D95" s="12" t="n"/>
      <c r="E95" s="12" t="n"/>
      <c r="F95" s="12" t="n"/>
      <c r="G95" s="12" t="n"/>
      <c r="H95" s="12" t="n"/>
      <c r="I95" s="12" t="n"/>
      <c r="J95" s="12" t="n"/>
      <c r="K95" s="12" t="n"/>
      <c r="L95" s="12" t="n"/>
      <c r="M95" s="12" t="n"/>
      <c r="N95" s="12" t="n"/>
      <c r="O95" s="12" t="n"/>
      <c r="P95" s="12" t="n"/>
      <c r="Q95" s="55" t="n"/>
      <c r="R95" s="12" t="n"/>
    </row>
    <row r="96" ht="28" customHeight="1">
      <c r="A96" s="130" t="n">
        <v>15</v>
      </c>
      <c r="B96" s="131" t="n"/>
      <c r="C96" s="131" t="n"/>
      <c r="D96" s="131" t="n"/>
      <c r="E96" s="131" t="n"/>
      <c r="F96" s="131" t="n"/>
      <c r="G96" s="131" t="n"/>
      <c r="H96" s="131" t="n"/>
      <c r="I96" s="131" t="n"/>
      <c r="J96" s="131" t="n"/>
      <c r="K96" s="131" t="n"/>
      <c r="L96" s="131" t="n"/>
      <c r="M96" s="131" t="n"/>
      <c r="N96" s="131" t="n"/>
      <c r="O96" s="131" t="n"/>
      <c r="P96" s="131" t="n"/>
      <c r="Q96" s="132" t="n"/>
      <c r="R96" s="131" t="n"/>
    </row>
    <row r="97" ht="28" customHeight="1">
      <c r="A97" s="52" t="n">
        <v>16</v>
      </c>
      <c r="B97" s="12" t="n"/>
      <c r="C97" s="12" t="n"/>
      <c r="D97" s="12" t="n"/>
      <c r="E97" s="12" t="n"/>
      <c r="F97" s="12" t="n"/>
      <c r="G97" s="12" t="n"/>
      <c r="H97" s="12" t="n"/>
      <c r="I97" s="12" t="n"/>
      <c r="J97" s="12" t="n"/>
      <c r="K97" s="12" t="n"/>
      <c r="L97" s="12" t="n"/>
      <c r="M97" s="12" t="n"/>
      <c r="N97" s="12" t="n"/>
      <c r="O97" s="12" t="n"/>
      <c r="P97" s="12" t="n"/>
      <c r="Q97" s="55" t="n"/>
      <c r="R97" s="12" t="n"/>
    </row>
    <row r="98" ht="28" customHeight="1">
      <c r="A98" s="130" t="n">
        <v>17</v>
      </c>
      <c r="B98" s="131" t="n"/>
      <c r="C98" s="131" t="n"/>
      <c r="D98" s="131" t="n"/>
      <c r="E98" s="131" t="n"/>
      <c r="F98" s="131" t="n"/>
      <c r="G98" s="131" t="n"/>
      <c r="H98" s="131" t="n"/>
      <c r="I98" s="131" t="n"/>
      <c r="J98" s="131" t="n"/>
      <c r="K98" s="131" t="n"/>
      <c r="L98" s="131" t="n"/>
      <c r="M98" s="131" t="n"/>
      <c r="N98" s="131" t="n"/>
      <c r="O98" s="131" t="n"/>
      <c r="P98" s="131" t="n"/>
      <c r="Q98" s="132" t="n"/>
      <c r="R98" s="131" t="n"/>
    </row>
    <row r="99" ht="28" customHeight="1">
      <c r="A99" s="52" t="n">
        <v>18</v>
      </c>
      <c r="B99" s="12" t="n"/>
      <c r="C99" s="12" t="n"/>
      <c r="D99" s="12" t="n"/>
      <c r="E99" s="12" t="n"/>
      <c r="F99" s="12" t="n"/>
      <c r="G99" s="12" t="n"/>
      <c r="H99" s="12" t="n"/>
      <c r="I99" s="12" t="n"/>
      <c r="J99" s="12" t="n"/>
      <c r="K99" s="12" t="n"/>
      <c r="L99" s="12" t="n"/>
      <c r="M99" s="12" t="n"/>
      <c r="N99" s="12" t="n"/>
      <c r="O99" s="12" t="n"/>
      <c r="P99" s="12" t="n"/>
      <c r="Q99" s="55" t="n"/>
      <c r="R99" s="12" t="n"/>
    </row>
    <row r="100" ht="28" customHeight="1">
      <c r="A100" s="130" t="n">
        <v>19</v>
      </c>
      <c r="B100" s="131" t="n"/>
      <c r="C100" s="131" t="n"/>
      <c r="D100" s="131" t="n"/>
      <c r="E100" s="131" t="n"/>
      <c r="F100" s="131" t="n"/>
      <c r="G100" s="131" t="n"/>
      <c r="H100" s="131" t="n"/>
      <c r="I100" s="131" t="n"/>
      <c r="J100" s="131" t="n"/>
      <c r="K100" s="131" t="n"/>
      <c r="L100" s="131" t="n"/>
      <c r="M100" s="131" t="n"/>
      <c r="N100" s="131" t="n"/>
      <c r="O100" s="131" t="n"/>
      <c r="P100" s="131" t="n"/>
      <c r="Q100" s="132" t="n"/>
      <c r="R100" s="131" t="n"/>
    </row>
    <row r="101" ht="28" customHeight="1">
      <c r="A101" s="52" t="n">
        <v>20</v>
      </c>
      <c r="B101" s="12" t="n"/>
      <c r="C101" s="12" t="n"/>
      <c r="D101" s="12" t="n"/>
      <c r="E101" s="12" t="n"/>
      <c r="F101" s="12" t="n"/>
      <c r="G101" s="12" t="n"/>
      <c r="H101" s="12" t="n"/>
      <c r="I101" s="12" t="n"/>
      <c r="J101" s="12" t="n"/>
      <c r="K101" s="12" t="n"/>
      <c r="L101" s="12" t="n"/>
      <c r="M101" s="12" t="n"/>
      <c r="N101" s="12" t="n"/>
      <c r="O101" s="12" t="n"/>
      <c r="P101" s="12" t="n"/>
      <c r="Q101" s="55" t="n"/>
      <c r="R101" s="12" t="n"/>
    </row>
    <row r="102" ht="28" customHeight="1">
      <c r="A102" s="130" t="n">
        <v>21</v>
      </c>
      <c r="B102" s="131" t="n"/>
      <c r="C102" s="131" t="n"/>
      <c r="D102" s="131" t="n"/>
      <c r="E102" s="131" t="n"/>
      <c r="F102" s="131" t="n"/>
      <c r="G102" s="131" t="n"/>
      <c r="H102" s="131" t="n"/>
      <c r="I102" s="131" t="n"/>
      <c r="J102" s="131" t="n"/>
      <c r="K102" s="131" t="n"/>
      <c r="L102" s="131" t="n"/>
      <c r="M102" s="131" t="n"/>
      <c r="N102" s="131" t="n"/>
      <c r="O102" s="131" t="n"/>
      <c r="P102" s="131" t="n"/>
      <c r="Q102" s="132" t="n"/>
      <c r="R102" s="131" t="n"/>
    </row>
    <row r="103" ht="28" customHeight="1">
      <c r="A103" s="52" t="n">
        <v>22</v>
      </c>
      <c r="B103" s="12" t="n"/>
      <c r="C103" s="12" t="n"/>
      <c r="D103" s="12" t="n"/>
      <c r="E103" s="12" t="n"/>
      <c r="F103" s="12" t="n"/>
      <c r="G103" s="12" t="n"/>
      <c r="H103" s="12" t="n"/>
      <c r="I103" s="12" t="n"/>
      <c r="J103" s="12" t="n"/>
      <c r="K103" s="12" t="n"/>
      <c r="L103" s="12" t="n"/>
      <c r="M103" s="12" t="n"/>
      <c r="N103" s="12" t="n"/>
      <c r="O103" s="12" t="n"/>
      <c r="P103" s="12" t="n"/>
      <c r="Q103" s="55" t="n"/>
      <c r="R103" s="12" t="n"/>
    </row>
    <row r="104" ht="28" customHeight="1">
      <c r="A104" s="130" t="n">
        <v>23</v>
      </c>
      <c r="B104" s="131" t="n"/>
      <c r="C104" s="131" t="n"/>
      <c r="D104" s="131" t="n"/>
      <c r="E104" s="131" t="n"/>
      <c r="F104" s="131" t="n"/>
      <c r="G104" s="131" t="n"/>
      <c r="H104" s="131" t="n"/>
      <c r="I104" s="131" t="n"/>
      <c r="J104" s="131" t="n"/>
      <c r="K104" s="131" t="n"/>
      <c r="L104" s="131" t="n"/>
      <c r="M104" s="131" t="n"/>
      <c r="N104" s="131" t="n"/>
      <c r="O104" s="131" t="n"/>
      <c r="P104" s="131" t="n"/>
      <c r="Q104" s="132" t="n"/>
      <c r="R104" s="131" t="n"/>
    </row>
    <row r="105" ht="28" customHeight="1">
      <c r="A105" s="52" t="n">
        <v>24</v>
      </c>
      <c r="B105" s="12" t="n"/>
      <c r="C105" s="12" t="n"/>
      <c r="D105" s="12" t="n"/>
      <c r="E105" s="12" t="n"/>
      <c r="F105" s="12" t="n"/>
      <c r="G105" s="12" t="n"/>
      <c r="H105" s="12" t="n"/>
      <c r="I105" s="12" t="n"/>
      <c r="J105" s="12" t="n"/>
      <c r="K105" s="12" t="n"/>
      <c r="L105" s="12" t="n"/>
      <c r="M105" s="12" t="n"/>
      <c r="N105" s="12" t="n"/>
      <c r="O105" s="12" t="n"/>
      <c r="P105" s="12" t="n"/>
      <c r="Q105" s="55" t="n"/>
      <c r="R105" s="12" t="n"/>
    </row>
    <row r="106" ht="28" customHeight="1">
      <c r="A106" s="130" t="n">
        <v>25</v>
      </c>
      <c r="B106" s="131" t="n"/>
      <c r="C106" s="131" t="n"/>
      <c r="D106" s="131" t="n"/>
      <c r="E106" s="131" t="n"/>
      <c r="F106" s="131" t="n"/>
      <c r="G106" s="131" t="n"/>
      <c r="H106" s="131" t="n"/>
      <c r="I106" s="131" t="n"/>
      <c r="J106" s="131" t="n"/>
      <c r="K106" s="131" t="n"/>
      <c r="L106" s="131" t="n"/>
      <c r="M106" s="131" t="n"/>
      <c r="N106" s="131" t="n"/>
      <c r="O106" s="131" t="n"/>
      <c r="P106" s="131" t="n"/>
      <c r="Q106" s="132" t="n"/>
      <c r="R106" s="131" t="n"/>
    </row>
    <row r="107" ht="28" customHeight="1">
      <c r="A107" s="52" t="n">
        <v>26</v>
      </c>
      <c r="B107" s="12" t="n"/>
      <c r="C107" s="12" t="n"/>
      <c r="D107" s="12" t="n"/>
      <c r="E107" s="12" t="n"/>
      <c r="F107" s="12" t="n"/>
      <c r="G107" s="12" t="n"/>
      <c r="H107" s="12" t="n"/>
      <c r="I107" s="12" t="n"/>
      <c r="J107" s="12" t="n"/>
      <c r="K107" s="12" t="n"/>
      <c r="L107" s="12" t="n"/>
      <c r="M107" s="12" t="n"/>
      <c r="N107" s="12" t="n"/>
      <c r="O107" s="12" t="n"/>
      <c r="P107" s="12" t="n"/>
      <c r="Q107" s="55" t="n"/>
      <c r="R107" s="12" t="n"/>
    </row>
    <row r="108" ht="28" customHeight="1">
      <c r="A108" s="130" t="n">
        <v>27</v>
      </c>
      <c r="B108" s="131" t="n"/>
      <c r="C108" s="131" t="n"/>
      <c r="D108" s="131" t="n"/>
      <c r="E108" s="131" t="n"/>
      <c r="F108" s="131" t="n"/>
      <c r="G108" s="131" t="n"/>
      <c r="H108" s="131" t="n"/>
      <c r="I108" s="131" t="n"/>
      <c r="J108" s="131" t="n"/>
      <c r="K108" s="131" t="n"/>
      <c r="L108" s="131" t="n"/>
      <c r="M108" s="131" t="n"/>
      <c r="N108" s="131" t="n"/>
      <c r="O108" s="131" t="n"/>
      <c r="P108" s="131" t="n"/>
      <c r="Q108" s="132" t="n"/>
      <c r="R108" s="131" t="n"/>
    </row>
    <row r="109" ht="28" customHeight="1">
      <c r="A109" s="52" t="n">
        <v>28</v>
      </c>
      <c r="B109" s="12" t="n"/>
      <c r="C109" s="12" t="n"/>
      <c r="D109" s="12" t="n"/>
      <c r="E109" s="12" t="n"/>
      <c r="F109" s="12" t="n"/>
      <c r="G109" s="12" t="n"/>
      <c r="H109" s="12" t="n"/>
      <c r="I109" s="12" t="n"/>
      <c r="J109" s="12" t="n"/>
      <c r="K109" s="12" t="n"/>
      <c r="L109" s="12" t="n"/>
      <c r="M109" s="12" t="n"/>
      <c r="N109" s="12" t="n"/>
      <c r="O109" s="12" t="n"/>
      <c r="P109" s="12" t="n"/>
      <c r="Q109" s="55" t="n"/>
      <c r="R109" s="12" t="n"/>
    </row>
    <row r="110" ht="28" customHeight="1">
      <c r="A110" s="130" t="n">
        <v>29</v>
      </c>
      <c r="B110" s="131" t="n"/>
      <c r="C110" s="131" t="n"/>
      <c r="D110" s="131" t="n"/>
      <c r="E110" s="131" t="n"/>
      <c r="F110" s="131" t="n"/>
      <c r="G110" s="131" t="n"/>
      <c r="H110" s="131" t="n"/>
      <c r="I110" s="131" t="n"/>
      <c r="J110" s="131" t="n"/>
      <c r="K110" s="131" t="n"/>
      <c r="L110" s="131" t="n"/>
      <c r="M110" s="131" t="n"/>
      <c r="N110" s="131" t="n"/>
      <c r="O110" s="131" t="n"/>
      <c r="P110" s="131" t="n"/>
      <c r="Q110" s="132" t="n"/>
      <c r="R110" s="131" t="n"/>
    </row>
    <row r="111" ht="28" customHeight="1">
      <c r="A111" s="52" t="n">
        <v>30</v>
      </c>
      <c r="B111" s="12" t="n"/>
      <c r="C111" s="12" t="n"/>
      <c r="D111" s="12" t="n"/>
      <c r="E111" s="12" t="n"/>
      <c r="F111" s="12" t="n"/>
      <c r="G111" s="12" t="n"/>
      <c r="H111" s="12" t="n"/>
      <c r="I111" s="12" t="n"/>
      <c r="J111" s="12" t="n"/>
      <c r="K111" s="12" t="n"/>
      <c r="L111" s="12" t="n"/>
      <c r="M111" s="12" t="n"/>
      <c r="N111" s="12" t="n"/>
      <c r="O111" s="12" t="n"/>
      <c r="P111" s="12" t="n"/>
      <c r="Q111" s="55" t="n"/>
      <c r="R111" s="12" t="n"/>
    </row>
    <row r="113" ht="24" customHeight="1">
      <c r="A113" s="138" t="inlineStr">
        <is>
          <t>🔌  SECTION 5: NETWORK SWITCHES (MANAGED)</t>
        </is>
      </c>
    </row>
    <row r="114" ht="32" customHeight="1">
      <c r="A114" s="139" t="inlineStr">
        <is>
          <t>#</t>
        </is>
      </c>
      <c r="B114" s="139" t="inlineStr">
        <is>
          <t>Department /
Location</t>
        </is>
      </c>
      <c r="C114" s="139" t="inlineStr">
        <is>
          <t>Switch Label
(e.g. SW-01)</t>
        </is>
      </c>
      <c r="D114" s="139" t="inlineStr">
        <is>
          <t>Make / Model</t>
        </is>
      </c>
      <c r="E114" s="139" t="inlineStr">
        <is>
          <t>No. of
Ports</t>
        </is>
      </c>
      <c r="F114" s="139" t="inlineStr">
        <is>
          <t>Management
IP Address</t>
        </is>
      </c>
      <c r="G114" s="139" t="inlineStr">
        <is>
          <t>Admin Username</t>
        </is>
      </c>
      <c r="H114" s="139" t="inlineStr">
        <is>
          <t>Admin Password
(mask: ••••xx)</t>
        </is>
      </c>
      <c r="I114" s="139" t="inlineStr">
        <is>
          <t>Console
Access (Y/N)</t>
        </is>
      </c>
      <c r="J114" s="139" t="inlineStr">
        <is>
          <t>Enable/Privileged
Password (mask)</t>
        </is>
      </c>
      <c r="K114" s="139" t="inlineStr">
        <is>
          <t>Firmware
Version</t>
        </is>
      </c>
      <c r="L114" s="139" t="inlineStr">
        <is>
          <t>VLANs
Configured</t>
        </is>
      </c>
      <c r="M114" s="139" t="inlineStr">
        <is>
          <t>Last Changed</t>
        </is>
      </c>
      <c r="N114" s="139" t="inlineStr">
        <is>
          <t>Notes</t>
        </is>
      </c>
    </row>
    <row r="115" ht="28" customHeight="1">
      <c r="A115" s="52" t="n">
        <v>1</v>
      </c>
      <c r="B115" s="12" t="n"/>
      <c r="C115" s="12" t="n"/>
      <c r="D115" s="12" t="n"/>
      <c r="E115" s="12" t="n"/>
      <c r="F115" s="12" t="n"/>
      <c r="G115" s="12" t="n"/>
      <c r="H115" s="12" t="n"/>
      <c r="I115" s="12" t="n"/>
      <c r="J115" s="12" t="n"/>
      <c r="K115" s="12" t="n"/>
      <c r="L115" s="12" t="n"/>
      <c r="M115" s="55" t="n"/>
      <c r="N115" s="12" t="n"/>
    </row>
    <row r="116" ht="28" customHeight="1">
      <c r="A116" s="140" t="n">
        <v>2</v>
      </c>
      <c r="B116" s="141" t="n"/>
      <c r="C116" s="141" t="n"/>
      <c r="D116" s="141" t="n"/>
      <c r="E116" s="141" t="n"/>
      <c r="F116" s="141" t="n"/>
      <c r="G116" s="141" t="n"/>
      <c r="H116" s="141" t="n"/>
      <c r="I116" s="141" t="n"/>
      <c r="J116" s="141" t="n"/>
      <c r="K116" s="141" t="n"/>
      <c r="L116" s="141" t="n"/>
      <c r="M116" s="142" t="n"/>
      <c r="N116" s="141" t="n"/>
    </row>
    <row r="117" ht="28" customHeight="1">
      <c r="A117" s="52" t="n">
        <v>3</v>
      </c>
      <c r="B117" s="12" t="n"/>
      <c r="C117" s="12" t="n"/>
      <c r="D117" s="12" t="n"/>
      <c r="E117" s="12" t="n"/>
      <c r="F117" s="12" t="n"/>
      <c r="G117" s="12" t="n"/>
      <c r="H117" s="12" t="n"/>
      <c r="I117" s="12" t="n"/>
      <c r="J117" s="12" t="n"/>
      <c r="K117" s="12" t="n"/>
      <c r="L117" s="12" t="n"/>
      <c r="M117" s="55" t="n"/>
      <c r="N117" s="12" t="n"/>
    </row>
    <row r="118" ht="28" customHeight="1">
      <c r="A118" s="140" t="n">
        <v>4</v>
      </c>
      <c r="B118" s="141" t="n"/>
      <c r="C118" s="141" t="n"/>
      <c r="D118" s="141" t="n"/>
      <c r="E118" s="141" t="n"/>
      <c r="F118" s="141" t="n"/>
      <c r="G118" s="141" t="n"/>
      <c r="H118" s="141" t="n"/>
      <c r="I118" s="141" t="n"/>
      <c r="J118" s="141" t="n"/>
      <c r="K118" s="141" t="n"/>
      <c r="L118" s="141" t="n"/>
      <c r="M118" s="142" t="n"/>
      <c r="N118" s="141" t="n"/>
    </row>
    <row r="119" ht="28" customHeight="1">
      <c r="A119" s="52" t="n">
        <v>5</v>
      </c>
      <c r="B119" s="12" t="n"/>
      <c r="C119" s="12" t="n"/>
      <c r="D119" s="12" t="n"/>
      <c r="E119" s="12" t="n"/>
      <c r="F119" s="12" t="n"/>
      <c r="G119" s="12" t="n"/>
      <c r="H119" s="12" t="n"/>
      <c r="I119" s="12" t="n"/>
      <c r="J119" s="12" t="n"/>
      <c r="K119" s="12" t="n"/>
      <c r="L119" s="12" t="n"/>
      <c r="M119" s="55" t="n"/>
      <c r="N119" s="12" t="n"/>
    </row>
    <row r="120" ht="28" customHeight="1">
      <c r="A120" s="140" t="n">
        <v>6</v>
      </c>
      <c r="B120" s="141" t="n"/>
      <c r="C120" s="141" t="n"/>
      <c r="D120" s="141" t="n"/>
      <c r="E120" s="141" t="n"/>
      <c r="F120" s="141" t="n"/>
      <c r="G120" s="141" t="n"/>
      <c r="H120" s="141" t="n"/>
      <c r="I120" s="141" t="n"/>
      <c r="J120" s="141" t="n"/>
      <c r="K120" s="141" t="n"/>
      <c r="L120" s="141" t="n"/>
      <c r="M120" s="142" t="n"/>
      <c r="N120" s="141" t="n"/>
    </row>
    <row r="121" ht="28" customHeight="1">
      <c r="A121" s="52" t="n">
        <v>7</v>
      </c>
      <c r="B121" s="12" t="n"/>
      <c r="C121" s="12" t="n"/>
      <c r="D121" s="12" t="n"/>
      <c r="E121" s="12" t="n"/>
      <c r="F121" s="12" t="n"/>
      <c r="G121" s="12" t="n"/>
      <c r="H121" s="12" t="n"/>
      <c r="I121" s="12" t="n"/>
      <c r="J121" s="12" t="n"/>
      <c r="K121" s="12" t="n"/>
      <c r="L121" s="12" t="n"/>
      <c r="M121" s="55" t="n"/>
      <c r="N121" s="12" t="n"/>
    </row>
    <row r="122" ht="28" customHeight="1">
      <c r="A122" s="140" t="n">
        <v>8</v>
      </c>
      <c r="B122" s="141" t="n"/>
      <c r="C122" s="141" t="n"/>
      <c r="D122" s="141" t="n"/>
      <c r="E122" s="141" t="n"/>
      <c r="F122" s="141" t="n"/>
      <c r="G122" s="141" t="n"/>
      <c r="H122" s="141" t="n"/>
      <c r="I122" s="141" t="n"/>
      <c r="J122" s="141" t="n"/>
      <c r="K122" s="141" t="n"/>
      <c r="L122" s="141" t="n"/>
      <c r="M122" s="142" t="n"/>
      <c r="N122" s="141" t="n"/>
    </row>
    <row r="123" ht="28" customHeight="1">
      <c r="A123" s="52" t="n">
        <v>9</v>
      </c>
      <c r="B123" s="12" t="n"/>
      <c r="C123" s="12" t="n"/>
      <c r="D123" s="12" t="n"/>
      <c r="E123" s="12" t="n"/>
      <c r="F123" s="12" t="n"/>
      <c r="G123" s="12" t="n"/>
      <c r="H123" s="12" t="n"/>
      <c r="I123" s="12" t="n"/>
      <c r="J123" s="12" t="n"/>
      <c r="K123" s="12" t="n"/>
      <c r="L123" s="12" t="n"/>
      <c r="M123" s="55" t="n"/>
      <c r="N123" s="12" t="n"/>
    </row>
    <row r="124" ht="28" customHeight="1">
      <c r="A124" s="140" t="n">
        <v>10</v>
      </c>
      <c r="B124" s="141" t="n"/>
      <c r="C124" s="141" t="n"/>
      <c r="D124" s="141" t="n"/>
      <c r="E124" s="141" t="n"/>
      <c r="F124" s="141" t="n"/>
      <c r="G124" s="141" t="n"/>
      <c r="H124" s="141" t="n"/>
      <c r="I124" s="141" t="n"/>
      <c r="J124" s="141" t="n"/>
      <c r="K124" s="141" t="n"/>
      <c r="L124" s="141" t="n"/>
      <c r="M124" s="142" t="n"/>
      <c r="N124" s="141" t="n"/>
    </row>
    <row r="125" ht="28" customHeight="1">
      <c r="A125" s="52" t="n">
        <v>11</v>
      </c>
      <c r="B125" s="12" t="n"/>
      <c r="C125" s="12" t="n"/>
      <c r="D125" s="12" t="n"/>
      <c r="E125" s="12" t="n"/>
      <c r="F125" s="12" t="n"/>
      <c r="G125" s="12" t="n"/>
      <c r="H125" s="12" t="n"/>
      <c r="I125" s="12" t="n"/>
      <c r="J125" s="12" t="n"/>
      <c r="K125" s="12" t="n"/>
      <c r="L125" s="12" t="n"/>
      <c r="M125" s="55" t="n"/>
      <c r="N125" s="12" t="n"/>
    </row>
    <row r="126" ht="28" customHeight="1">
      <c r="A126" s="140" t="n">
        <v>12</v>
      </c>
      <c r="B126" s="141" t="n"/>
      <c r="C126" s="141" t="n"/>
      <c r="D126" s="141" t="n"/>
      <c r="E126" s="141" t="n"/>
      <c r="F126" s="141" t="n"/>
      <c r="G126" s="141" t="n"/>
      <c r="H126" s="141" t="n"/>
      <c r="I126" s="141" t="n"/>
      <c r="J126" s="141" t="n"/>
      <c r="K126" s="141" t="n"/>
      <c r="L126" s="141" t="n"/>
      <c r="M126" s="142" t="n"/>
      <c r="N126" s="141" t="n"/>
    </row>
    <row r="127" ht="28" customHeight="1">
      <c r="A127" s="52" t="n">
        <v>13</v>
      </c>
      <c r="B127" s="12" t="n"/>
      <c r="C127" s="12" t="n"/>
      <c r="D127" s="12" t="n"/>
      <c r="E127" s="12" t="n"/>
      <c r="F127" s="12" t="n"/>
      <c r="G127" s="12" t="n"/>
      <c r="H127" s="12" t="n"/>
      <c r="I127" s="12" t="n"/>
      <c r="J127" s="12" t="n"/>
      <c r="K127" s="12" t="n"/>
      <c r="L127" s="12" t="n"/>
      <c r="M127" s="55" t="n"/>
      <c r="N127" s="12" t="n"/>
    </row>
    <row r="128" ht="28" customHeight="1">
      <c r="A128" s="140" t="n">
        <v>14</v>
      </c>
      <c r="B128" s="141" t="n"/>
      <c r="C128" s="141" t="n"/>
      <c r="D128" s="141" t="n"/>
      <c r="E128" s="141" t="n"/>
      <c r="F128" s="141" t="n"/>
      <c r="G128" s="141" t="n"/>
      <c r="H128" s="141" t="n"/>
      <c r="I128" s="141" t="n"/>
      <c r="J128" s="141" t="n"/>
      <c r="K128" s="141" t="n"/>
      <c r="L128" s="141" t="n"/>
      <c r="M128" s="142" t="n"/>
      <c r="N128" s="141" t="n"/>
    </row>
    <row r="129" ht="28" customHeight="1">
      <c r="A129" s="52" t="n">
        <v>15</v>
      </c>
      <c r="B129" s="12" t="n"/>
      <c r="C129" s="12" t="n"/>
      <c r="D129" s="12" t="n"/>
      <c r="E129" s="12" t="n"/>
      <c r="F129" s="12" t="n"/>
      <c r="G129" s="12" t="n"/>
      <c r="H129" s="12" t="n"/>
      <c r="I129" s="12" t="n"/>
      <c r="J129" s="12" t="n"/>
      <c r="K129" s="12" t="n"/>
      <c r="L129" s="12" t="n"/>
      <c r="M129" s="55" t="n"/>
      <c r="N129" s="12" t="n"/>
    </row>
    <row r="131" ht="24" customHeight="1">
      <c r="A131" s="143" t="inlineStr">
        <is>
          <t>🗄  SECTION 6: SERVERS, UPS &amp; OTHER DEVICES</t>
        </is>
      </c>
    </row>
    <row r="132" ht="32" customHeight="1">
      <c r="A132" s="144" t="inlineStr">
        <is>
          <t>#</t>
        </is>
      </c>
      <c r="B132" s="144" t="inlineStr">
        <is>
          <t>Department /
Location</t>
        </is>
      </c>
      <c r="C132" s="144" t="inlineStr">
        <is>
          <t>Device Label</t>
        </is>
      </c>
      <c r="D132" s="144" t="inlineStr">
        <is>
          <t>Device Type
(Server/UPS/Other)</t>
        </is>
      </c>
      <c r="E132" s="144" t="inlineStr">
        <is>
          <t>Make / Model</t>
        </is>
      </c>
      <c r="F132" s="144" t="inlineStr">
        <is>
          <t>IP Address</t>
        </is>
      </c>
      <c r="G132" s="144" t="inlineStr">
        <is>
          <t>MAC Address</t>
        </is>
      </c>
      <c r="H132" s="144" t="inlineStr">
        <is>
          <t>OS / Firmware</t>
        </is>
      </c>
      <c r="I132" s="144" t="inlineStr">
        <is>
          <t>Admin Username</t>
        </is>
      </c>
      <c r="J132" s="144" t="inlineStr">
        <is>
          <t>Admin Password
(mask: ••••xx)</t>
        </is>
      </c>
      <c r="K132" s="144" t="inlineStr">
        <is>
          <t>Management
URL / Port</t>
        </is>
      </c>
      <c r="L132" s="144" t="inlineStr">
        <is>
          <t>Serial Number</t>
        </is>
      </c>
      <c r="M132" s="144" t="inlineStr">
        <is>
          <t>Last Changed</t>
        </is>
      </c>
      <c r="N132" s="144" t="inlineStr">
        <is>
          <t>Notes</t>
        </is>
      </c>
    </row>
    <row r="133" ht="28" customHeight="1">
      <c r="A133" s="52" t="n">
        <v>1</v>
      </c>
      <c r="B133" s="12" t="n"/>
      <c r="C133" s="12" t="n"/>
      <c r="D133" s="12" t="n"/>
      <c r="E133" s="12" t="n"/>
      <c r="F133" s="12" t="n"/>
      <c r="G133" s="12" t="n"/>
      <c r="H133" s="12" t="n"/>
      <c r="I133" s="12" t="n"/>
      <c r="J133" s="12" t="n"/>
      <c r="K133" s="12" t="n"/>
      <c r="L133" s="12" t="n"/>
      <c r="M133" s="55" t="n"/>
      <c r="N133" s="12" t="n"/>
    </row>
    <row r="134" ht="28" customHeight="1">
      <c r="A134" s="76" t="n">
        <v>2</v>
      </c>
      <c r="B134" s="15" t="n"/>
      <c r="C134" s="15" t="n"/>
      <c r="D134" s="15" t="n"/>
      <c r="E134" s="15" t="n"/>
      <c r="F134" s="15" t="n"/>
      <c r="G134" s="15" t="n"/>
      <c r="H134" s="15" t="n"/>
      <c r="I134" s="15" t="n"/>
      <c r="J134" s="15" t="n"/>
      <c r="K134" s="15" t="n"/>
      <c r="L134" s="15" t="n"/>
      <c r="M134" s="77" t="n"/>
      <c r="N134" s="15" t="n"/>
    </row>
    <row r="135" ht="28" customHeight="1">
      <c r="A135" s="52" t="n">
        <v>3</v>
      </c>
      <c r="B135" s="12" t="n"/>
      <c r="C135" s="12" t="n"/>
      <c r="D135" s="12" t="n"/>
      <c r="E135" s="12" t="n"/>
      <c r="F135" s="12" t="n"/>
      <c r="G135" s="12" t="n"/>
      <c r="H135" s="12" t="n"/>
      <c r="I135" s="12" t="n"/>
      <c r="J135" s="12" t="n"/>
      <c r="K135" s="12" t="n"/>
      <c r="L135" s="12" t="n"/>
      <c r="M135" s="55" t="n"/>
      <c r="N135" s="12" t="n"/>
    </row>
    <row r="136" ht="28" customHeight="1">
      <c r="A136" s="76" t="n">
        <v>4</v>
      </c>
      <c r="B136" s="15" t="n"/>
      <c r="C136" s="15" t="n"/>
      <c r="D136" s="15" t="n"/>
      <c r="E136" s="15" t="n"/>
      <c r="F136" s="15" t="n"/>
      <c r="G136" s="15" t="n"/>
      <c r="H136" s="15" t="n"/>
      <c r="I136" s="15" t="n"/>
      <c r="J136" s="15" t="n"/>
      <c r="K136" s="15" t="n"/>
      <c r="L136" s="15" t="n"/>
      <c r="M136" s="77" t="n"/>
      <c r="N136" s="15" t="n"/>
    </row>
    <row r="137" ht="28" customHeight="1">
      <c r="A137" s="52" t="n">
        <v>5</v>
      </c>
      <c r="B137" s="12" t="n"/>
      <c r="C137" s="12" t="n"/>
      <c r="D137" s="12" t="n"/>
      <c r="E137" s="12" t="n"/>
      <c r="F137" s="12" t="n"/>
      <c r="G137" s="12" t="n"/>
      <c r="H137" s="12" t="n"/>
      <c r="I137" s="12" t="n"/>
      <c r="J137" s="12" t="n"/>
      <c r="K137" s="12" t="n"/>
      <c r="L137" s="12" t="n"/>
      <c r="M137" s="55" t="n"/>
      <c r="N137" s="12" t="n"/>
    </row>
    <row r="138" ht="28" customHeight="1">
      <c r="A138" s="76" t="n">
        <v>6</v>
      </c>
      <c r="B138" s="15" t="n"/>
      <c r="C138" s="15" t="n"/>
      <c r="D138" s="15" t="n"/>
      <c r="E138" s="15" t="n"/>
      <c r="F138" s="15" t="n"/>
      <c r="G138" s="15" t="n"/>
      <c r="H138" s="15" t="n"/>
      <c r="I138" s="15" t="n"/>
      <c r="J138" s="15" t="n"/>
      <c r="K138" s="15" t="n"/>
      <c r="L138" s="15" t="n"/>
      <c r="M138" s="77" t="n"/>
      <c r="N138" s="15" t="n"/>
    </row>
    <row r="139" ht="28" customHeight="1">
      <c r="A139" s="52" t="n">
        <v>7</v>
      </c>
      <c r="B139" s="12" t="n"/>
      <c r="C139" s="12" t="n"/>
      <c r="D139" s="12" t="n"/>
      <c r="E139" s="12" t="n"/>
      <c r="F139" s="12" t="n"/>
      <c r="G139" s="12" t="n"/>
      <c r="H139" s="12" t="n"/>
      <c r="I139" s="12" t="n"/>
      <c r="J139" s="12" t="n"/>
      <c r="K139" s="12" t="n"/>
      <c r="L139" s="12" t="n"/>
      <c r="M139" s="55" t="n"/>
      <c r="N139" s="12" t="n"/>
    </row>
    <row r="140" ht="28" customHeight="1">
      <c r="A140" s="76" t="n">
        <v>8</v>
      </c>
      <c r="B140" s="15" t="n"/>
      <c r="C140" s="15" t="n"/>
      <c r="D140" s="15" t="n"/>
      <c r="E140" s="15" t="n"/>
      <c r="F140" s="15" t="n"/>
      <c r="G140" s="15" t="n"/>
      <c r="H140" s="15" t="n"/>
      <c r="I140" s="15" t="n"/>
      <c r="J140" s="15" t="n"/>
      <c r="K140" s="15" t="n"/>
      <c r="L140" s="15" t="n"/>
      <c r="M140" s="77" t="n"/>
      <c r="N140" s="15" t="n"/>
    </row>
    <row r="141" ht="28" customHeight="1">
      <c r="A141" s="52" t="n">
        <v>9</v>
      </c>
      <c r="B141" s="12" t="n"/>
      <c r="C141" s="12" t="n"/>
      <c r="D141" s="12" t="n"/>
      <c r="E141" s="12" t="n"/>
      <c r="F141" s="12" t="n"/>
      <c r="G141" s="12" t="n"/>
      <c r="H141" s="12" t="n"/>
      <c r="I141" s="12" t="n"/>
      <c r="J141" s="12" t="n"/>
      <c r="K141" s="12" t="n"/>
      <c r="L141" s="12" t="n"/>
      <c r="M141" s="55" t="n"/>
      <c r="N141" s="12" t="n"/>
    </row>
    <row r="142" ht="28" customHeight="1">
      <c r="A142" s="76" t="n">
        <v>10</v>
      </c>
      <c r="B142" s="15" t="n"/>
      <c r="C142" s="15" t="n"/>
      <c r="D142" s="15" t="n"/>
      <c r="E142" s="15" t="n"/>
      <c r="F142" s="15" t="n"/>
      <c r="G142" s="15" t="n"/>
      <c r="H142" s="15" t="n"/>
      <c r="I142" s="15" t="n"/>
      <c r="J142" s="15" t="n"/>
      <c r="K142" s="15" t="n"/>
      <c r="L142" s="15" t="n"/>
      <c r="M142" s="77" t="n"/>
      <c r="N142" s="15" t="n"/>
    </row>
    <row r="143" ht="28" customHeight="1">
      <c r="A143" s="52" t="n">
        <v>11</v>
      </c>
      <c r="B143" s="12" t="n"/>
      <c r="C143" s="12" t="n"/>
      <c r="D143" s="12" t="n"/>
      <c r="E143" s="12" t="n"/>
      <c r="F143" s="12" t="n"/>
      <c r="G143" s="12" t="n"/>
      <c r="H143" s="12" t="n"/>
      <c r="I143" s="12" t="n"/>
      <c r="J143" s="12" t="n"/>
      <c r="K143" s="12" t="n"/>
      <c r="L143" s="12" t="n"/>
      <c r="M143" s="55" t="n"/>
      <c r="N143" s="12" t="n"/>
    </row>
    <row r="144" ht="28" customHeight="1">
      <c r="A144" s="76" t="n">
        <v>12</v>
      </c>
      <c r="B144" s="15" t="n"/>
      <c r="C144" s="15" t="n"/>
      <c r="D144" s="15" t="n"/>
      <c r="E144" s="15" t="n"/>
      <c r="F144" s="15" t="n"/>
      <c r="G144" s="15" t="n"/>
      <c r="H144" s="15" t="n"/>
      <c r="I144" s="15" t="n"/>
      <c r="J144" s="15" t="n"/>
      <c r="K144" s="15" t="n"/>
      <c r="L144" s="15" t="n"/>
      <c r="M144" s="77" t="n"/>
      <c r="N144" s="15" t="n"/>
    </row>
    <row r="145" ht="28" customHeight="1">
      <c r="A145" s="52" t="n">
        <v>13</v>
      </c>
      <c r="B145" s="12" t="n"/>
      <c r="C145" s="12" t="n"/>
      <c r="D145" s="12" t="n"/>
      <c r="E145" s="12" t="n"/>
      <c r="F145" s="12" t="n"/>
      <c r="G145" s="12" t="n"/>
      <c r="H145" s="12" t="n"/>
      <c r="I145" s="12" t="n"/>
      <c r="J145" s="12" t="n"/>
      <c r="K145" s="12" t="n"/>
      <c r="L145" s="12" t="n"/>
      <c r="M145" s="55" t="n"/>
      <c r="N145" s="12" t="n"/>
    </row>
    <row r="146" ht="28" customHeight="1">
      <c r="A146" s="76" t="n">
        <v>14</v>
      </c>
      <c r="B146" s="15" t="n"/>
      <c r="C146" s="15" t="n"/>
      <c r="D146" s="15" t="n"/>
      <c r="E146" s="15" t="n"/>
      <c r="F146" s="15" t="n"/>
      <c r="G146" s="15" t="n"/>
      <c r="H146" s="15" t="n"/>
      <c r="I146" s="15" t="n"/>
      <c r="J146" s="15" t="n"/>
      <c r="K146" s="15" t="n"/>
      <c r="L146" s="15" t="n"/>
      <c r="M146" s="77" t="n"/>
      <c r="N146" s="15" t="n"/>
    </row>
    <row r="147" ht="28" customHeight="1">
      <c r="A147" s="52" t="n">
        <v>15</v>
      </c>
      <c r="B147" s="12" t="n"/>
      <c r="C147" s="12" t="n"/>
      <c r="D147" s="12" t="n"/>
      <c r="E147" s="12" t="n"/>
      <c r="F147" s="12" t="n"/>
      <c r="G147" s="12" t="n"/>
      <c r="H147" s="12" t="n"/>
      <c r="I147" s="12" t="n"/>
      <c r="J147" s="12" t="n"/>
      <c r="K147" s="12" t="n"/>
      <c r="L147" s="12" t="n"/>
      <c r="M147" s="55" t="n"/>
      <c r="N147" s="12" t="n"/>
    </row>
    <row r="149" ht="8" customHeight="1"/>
    <row r="150" ht="20" customHeight="1">
      <c r="A150" s="145" t="inlineStr">
        <is>
          <t>🔒  CREDENTIAL SECURITY BEST PRACTICES:
1. Mask passwords — record only partial (e.g. first 3 + last 2 chars: 'Adm••••d1')  2. Change default router/NVR/switch passwords immediately on first setup  3. Use different passwords per device — never reuse across devices  4. Protect this sheet: Review → Protect Sheet (Excel) or Data → Protect Sheet (Google Sheets)  5. Limit file sharing — send via encrypted channel only</t>
        </is>
      </c>
    </row>
    <row r="151" ht="20" customHeight="1"/>
    <row r="152" ht="20" customHeight="1"/>
  </sheetData>
  <mergeCells count="11">
    <mergeCell ref="A150:P152"/>
    <mergeCell ref="A1:P1"/>
    <mergeCell ref="A80:P80"/>
    <mergeCell ref="A6:P6"/>
    <mergeCell ref="A131:P131"/>
    <mergeCell ref="A3:P3"/>
    <mergeCell ref="A4:P5"/>
    <mergeCell ref="A29:P29"/>
    <mergeCell ref="A57:P57"/>
    <mergeCell ref="A113:P113"/>
    <mergeCell ref="A2:P2"/>
  </mergeCells>
  <dataValidations count="12">
    <dataValidation sqref="B8:B27" showDropDown="0" showInputMessage="0" showErrorMessage="0" allowBlank="1" type="list">
      <formula1>'⚙ Config'!$A$5:$A$44</formula1>
    </dataValidation>
    <dataValidation sqref="B31:B55" showDropDown="0" showInputMessage="0" showErrorMessage="0" allowBlank="1" type="list">
      <formula1>'⚙ Config'!$A$5:$A$44</formula1>
    </dataValidation>
    <dataValidation sqref="I31:I55" showDropDown="0" showInputMessage="0" showErrorMessage="0" allowBlank="1" type="list">
      <formula1>"WPA2-Personal,WPA3-Personal,WPA2-Enterprise,WPA3-Enterprise,WEP (insecure),Open (no password)"</formula1>
    </dataValidation>
    <dataValidation sqref="J31:J55" showDropDown="0" showInputMessage="0" showErrorMessage="0" allowBlank="1" type="list">
      <formula1>"2.4 GHz,5 GHz,6 GHz,2.4 + 5 GHz (Dual),2.4 + 5 + 6 GHz (Tri)"</formula1>
    </dataValidation>
    <dataValidation sqref="B59:B78" showDropDown="0" showInputMessage="0" showErrorMessage="0" allowBlank="1" type="list">
      <formula1>'⚙ Config'!$A$5:$A$44</formula1>
    </dataValidation>
    <dataValidation sqref="D59:D78" showDropDown="0" showInputMessage="0" showErrorMessage="0" allowBlank="1" type="list">
      <formula1>"NVR (IP Cameras),DVR (Analogue),Hybrid (NVR+DVR)"</formula1>
    </dataValidation>
    <dataValidation sqref="B82:B111" showDropDown="0" showInputMessage="0" showErrorMessage="0" allowBlank="1" type="list">
      <formula1>'⚙ Config'!$A$5:$A$44</formula1>
    </dataValidation>
    <dataValidation sqref="E82:E111" showDropDown="0" showInputMessage="0" showErrorMessage="0" allowBlank="1" type="list">
      <formula1>"Desktop,Laptop,Server,Mini PC,All-in-One,Workstation"</formula1>
    </dataValidation>
    <dataValidation sqref="N82:N111" showDropDown="0" showInputMessage="0" showErrorMessage="0" allowBlank="1" type="list">
      <formula1>"Yes,No,Yes (Port Forwarded)"</formula1>
    </dataValidation>
    <dataValidation sqref="B115:B129" showDropDown="0" showInputMessage="0" showErrorMessage="0" allowBlank="1" type="list">
      <formula1>'⚙ Config'!$A$5:$A$44</formula1>
    </dataValidation>
    <dataValidation sqref="B133:B147" showDropDown="0" showInputMessage="0" showErrorMessage="0" allowBlank="1" type="list">
      <formula1>'⚙ Config'!$A$5:$A$44</formula1>
    </dataValidation>
    <dataValidation sqref="D133:D147" showDropDown="0" showInputMessage="0" showErrorMessage="0" allowBlank="1" type="list">
      <formula1>"File Server,Domain Controller,NAS,Print Server,Web Server,UPS,PABX/PBX,VOIP Server,Proxy Server,Other"</formula1>
    </dataValidation>
  </dataValidations>
  <pageMargins left="0.75" right="0.75" top="1" bottom="1" header="0.5" footer="0.5"/>
  <pageSetup orientation="landscape" paperSize="9" fitToHeight="0" fitToWidth="1"/>
</worksheet>
</file>

<file path=xl/worksheets/sheet7.xml><?xml version="1.0" encoding="utf-8"?>
<worksheet xmlns="http://schemas.openxmlformats.org/spreadsheetml/2006/main">
  <sheetPr>
    <tabColor rgb="007030A0"/>
    <outlinePr summaryBelow="1" summaryRight="1"/>
    <pageSetUpPr/>
  </sheetPr>
  <dimension ref="A1:K104"/>
  <sheetViews>
    <sheetView showGridLines="0" workbookViewId="0">
      <pane ySplit="4" topLeftCell="A5" activePane="bottomLeft" state="frozen"/>
      <selection pane="bottomLeft" activeCell="A1" sqref="A1"/>
    </sheetView>
  </sheetViews>
  <sheetFormatPr baseColWidth="8" defaultRowHeight="15"/>
  <cols>
    <col width="4" customWidth="1" min="1" max="1"/>
    <col width="20" customWidth="1" min="2" max="2"/>
    <col width="34" customWidth="1" min="3" max="3"/>
    <col width="20" customWidth="1" min="4" max="4"/>
    <col width="18" customWidth="1" min="5" max="5"/>
    <col width="12" customWidth="1" min="6" max="6"/>
    <col width="13" customWidth="1" min="7" max="7"/>
    <col width="16" customWidth="1" min="8" max="8"/>
    <col width="13" customWidth="1" min="9" max="9"/>
    <col width="16" customWidth="1" min="10" max="10"/>
    <col width="26" customWidth="1" min="11" max="11"/>
  </cols>
  <sheetData>
    <row r="1" ht="38" customHeight="1">
      <c r="A1" s="78" t="inlineStr">
        <is>
          <t>📌  FURTHER REQUESTS &amp; FOLLOW-UP TRACKER</t>
        </is>
      </c>
    </row>
    <row r="2" ht="18" customHeight="1">
      <c r="A2" s="2" t="inlineStr">
        <is>
          <t>Log all pending tasks, hardware requests, upgrades and follow-ups from this visit.</t>
        </is>
      </c>
    </row>
    <row r="3" ht="6" customHeight="1"/>
    <row r="4" ht="34" customHeight="1">
      <c r="A4" s="79" t="inlineStr">
        <is>
          <t>#</t>
        </is>
      </c>
      <c r="B4" s="79" t="inlineStr">
        <is>
          <t>Department</t>
        </is>
      </c>
      <c r="C4" s="79" t="inlineStr">
        <is>
          <t>Request Description</t>
        </is>
      </c>
      <c r="D4" s="79" t="inlineStr">
        <is>
          <t>Item Required</t>
        </is>
      </c>
      <c r="E4" s="79" t="inlineStr">
        <is>
          <t>Custom Item
(if not listed)</t>
        </is>
      </c>
      <c r="F4" s="79" t="inlineStr">
        <is>
          <t>Est. Cost</t>
        </is>
      </c>
      <c r="G4" s="79" t="inlineStr">
        <is>
          <t>Priority</t>
        </is>
      </c>
      <c r="H4" s="79" t="inlineStr">
        <is>
          <t>Requested By</t>
        </is>
      </c>
      <c r="I4" s="79" t="inlineStr">
        <is>
          <t>Due Date</t>
        </is>
      </c>
      <c r="J4" s="79" t="inlineStr">
        <is>
          <t>Progress</t>
        </is>
      </c>
      <c r="K4" s="79" t="inlineStr">
        <is>
          <t>Notes / Response</t>
        </is>
      </c>
    </row>
    <row r="5" ht="34" customHeight="1">
      <c r="A5" s="52" t="n">
        <v>1</v>
      </c>
      <c r="B5" s="12" t="n"/>
      <c r="C5" s="12" t="n"/>
      <c r="D5" s="12" t="n"/>
      <c r="E5" s="12" t="n"/>
      <c r="F5" s="54" t="n"/>
      <c r="G5" s="12" t="n"/>
      <c r="H5" s="12" t="n"/>
      <c r="I5" s="55" t="n"/>
      <c r="J5" s="12" t="n"/>
      <c r="K5" s="12" t="n"/>
    </row>
    <row r="6" ht="34" customHeight="1">
      <c r="A6" s="80" t="n">
        <v>2</v>
      </c>
      <c r="B6" s="14" t="n"/>
      <c r="C6" s="14" t="n"/>
      <c r="D6" s="14" t="n"/>
      <c r="E6" s="14" t="n"/>
      <c r="F6" s="81" t="n"/>
      <c r="G6" s="14" t="n"/>
      <c r="H6" s="14" t="n"/>
      <c r="I6" s="82" t="n"/>
      <c r="J6" s="14" t="n"/>
      <c r="K6" s="14" t="n"/>
    </row>
    <row r="7" ht="34" customHeight="1">
      <c r="A7" s="52" t="n">
        <v>3</v>
      </c>
      <c r="B7" s="12" t="n"/>
      <c r="C7" s="12" t="n"/>
      <c r="D7" s="12" t="n"/>
      <c r="E7" s="12" t="n"/>
      <c r="F7" s="54" t="n"/>
      <c r="G7" s="12" t="n"/>
      <c r="H7" s="12" t="n"/>
      <c r="I7" s="55" t="n"/>
      <c r="J7" s="12" t="n"/>
      <c r="K7" s="12" t="n"/>
    </row>
    <row r="8" ht="34" customHeight="1">
      <c r="A8" s="80" t="n">
        <v>4</v>
      </c>
      <c r="B8" s="14" t="n"/>
      <c r="C8" s="14" t="n"/>
      <c r="D8" s="14" t="n"/>
      <c r="E8" s="14" t="n"/>
      <c r="F8" s="81" t="n"/>
      <c r="G8" s="14" t="n"/>
      <c r="H8" s="14" t="n"/>
      <c r="I8" s="82" t="n"/>
      <c r="J8" s="14" t="n"/>
      <c r="K8" s="14" t="n"/>
    </row>
    <row r="9" ht="34" customHeight="1">
      <c r="A9" s="52" t="n">
        <v>5</v>
      </c>
      <c r="B9" s="12" t="n"/>
      <c r="C9" s="12" t="n"/>
      <c r="D9" s="12" t="n"/>
      <c r="E9" s="12" t="n"/>
      <c r="F9" s="54" t="n"/>
      <c r="G9" s="12" t="n"/>
      <c r="H9" s="12" t="n"/>
      <c r="I9" s="55" t="n"/>
      <c r="J9" s="12" t="n"/>
      <c r="K9" s="12" t="n"/>
    </row>
    <row r="10" ht="34" customHeight="1">
      <c r="A10" s="80" t="n">
        <v>6</v>
      </c>
      <c r="B10" s="14" t="n"/>
      <c r="C10" s="14" t="n"/>
      <c r="D10" s="14" t="n"/>
      <c r="E10" s="14" t="n"/>
      <c r="F10" s="81" t="n"/>
      <c r="G10" s="14" t="n"/>
      <c r="H10" s="14" t="n"/>
      <c r="I10" s="82" t="n"/>
      <c r="J10" s="14" t="n"/>
      <c r="K10" s="14" t="n"/>
    </row>
    <row r="11" ht="34" customHeight="1">
      <c r="A11" s="52" t="n">
        <v>7</v>
      </c>
      <c r="B11" s="12" t="n"/>
      <c r="C11" s="12" t="n"/>
      <c r="D11" s="12" t="n"/>
      <c r="E11" s="12" t="n"/>
      <c r="F11" s="54" t="n"/>
      <c r="G11" s="12" t="n"/>
      <c r="H11" s="12" t="n"/>
      <c r="I11" s="55" t="n"/>
      <c r="J11" s="12" t="n"/>
      <c r="K11" s="12" t="n"/>
    </row>
    <row r="12" ht="34" customHeight="1">
      <c r="A12" s="80" t="n">
        <v>8</v>
      </c>
      <c r="B12" s="14" t="n"/>
      <c r="C12" s="14" t="n"/>
      <c r="D12" s="14" t="n"/>
      <c r="E12" s="14" t="n"/>
      <c r="F12" s="81" t="n"/>
      <c r="G12" s="14" t="n"/>
      <c r="H12" s="14" t="n"/>
      <c r="I12" s="82" t="n"/>
      <c r="J12" s="14" t="n"/>
      <c r="K12" s="14" t="n"/>
    </row>
    <row r="13" ht="34" customHeight="1">
      <c r="A13" s="52" t="n">
        <v>9</v>
      </c>
      <c r="B13" s="12" t="n"/>
      <c r="C13" s="12" t="n"/>
      <c r="D13" s="12" t="n"/>
      <c r="E13" s="12" t="n"/>
      <c r="F13" s="54" t="n"/>
      <c r="G13" s="12" t="n"/>
      <c r="H13" s="12" t="n"/>
      <c r="I13" s="55" t="n"/>
      <c r="J13" s="12" t="n"/>
      <c r="K13" s="12" t="n"/>
    </row>
    <row r="14" ht="34" customHeight="1">
      <c r="A14" s="80" t="n">
        <v>10</v>
      </c>
      <c r="B14" s="14" t="n"/>
      <c r="C14" s="14" t="n"/>
      <c r="D14" s="14" t="n"/>
      <c r="E14" s="14" t="n"/>
      <c r="F14" s="81" t="n"/>
      <c r="G14" s="14" t="n"/>
      <c r="H14" s="14" t="n"/>
      <c r="I14" s="82" t="n"/>
      <c r="J14" s="14" t="n"/>
      <c r="K14" s="14" t="n"/>
    </row>
    <row r="15" ht="34" customHeight="1">
      <c r="A15" s="52" t="n">
        <v>11</v>
      </c>
      <c r="B15" s="12" t="n"/>
      <c r="C15" s="12" t="n"/>
      <c r="D15" s="12" t="n"/>
      <c r="E15" s="12" t="n"/>
      <c r="F15" s="54" t="n"/>
      <c r="G15" s="12" t="n"/>
      <c r="H15" s="12" t="n"/>
      <c r="I15" s="55" t="n"/>
      <c r="J15" s="12" t="n"/>
      <c r="K15" s="12" t="n"/>
    </row>
    <row r="16" ht="34" customHeight="1">
      <c r="A16" s="80" t="n">
        <v>12</v>
      </c>
      <c r="B16" s="14" t="n"/>
      <c r="C16" s="14" t="n"/>
      <c r="D16" s="14" t="n"/>
      <c r="E16" s="14" t="n"/>
      <c r="F16" s="81" t="n"/>
      <c r="G16" s="14" t="n"/>
      <c r="H16" s="14" t="n"/>
      <c r="I16" s="82" t="n"/>
      <c r="J16" s="14" t="n"/>
      <c r="K16" s="14" t="n"/>
    </row>
    <row r="17" ht="34" customHeight="1">
      <c r="A17" s="52" t="n">
        <v>13</v>
      </c>
      <c r="B17" s="12" t="n"/>
      <c r="C17" s="12" t="n"/>
      <c r="D17" s="12" t="n"/>
      <c r="E17" s="12" t="n"/>
      <c r="F17" s="54" t="n"/>
      <c r="G17" s="12" t="n"/>
      <c r="H17" s="12" t="n"/>
      <c r="I17" s="55" t="n"/>
      <c r="J17" s="12" t="n"/>
      <c r="K17" s="12" t="n"/>
    </row>
    <row r="18" ht="34" customHeight="1">
      <c r="A18" s="80" t="n">
        <v>14</v>
      </c>
      <c r="B18" s="14" t="n"/>
      <c r="C18" s="14" t="n"/>
      <c r="D18" s="14" t="n"/>
      <c r="E18" s="14" t="n"/>
      <c r="F18" s="81" t="n"/>
      <c r="G18" s="14" t="n"/>
      <c r="H18" s="14" t="n"/>
      <c r="I18" s="82" t="n"/>
      <c r="J18" s="14" t="n"/>
      <c r="K18" s="14" t="n"/>
    </row>
    <row r="19" ht="34" customHeight="1">
      <c r="A19" s="52" t="n">
        <v>15</v>
      </c>
      <c r="B19" s="12" t="n"/>
      <c r="C19" s="12" t="n"/>
      <c r="D19" s="12" t="n"/>
      <c r="E19" s="12" t="n"/>
      <c r="F19" s="54" t="n"/>
      <c r="G19" s="12" t="n"/>
      <c r="H19" s="12" t="n"/>
      <c r="I19" s="55" t="n"/>
      <c r="J19" s="12" t="n"/>
      <c r="K19" s="12" t="n"/>
    </row>
    <row r="20" ht="34" customHeight="1">
      <c r="A20" s="80" t="n">
        <v>16</v>
      </c>
      <c r="B20" s="14" t="n"/>
      <c r="C20" s="14" t="n"/>
      <c r="D20" s="14" t="n"/>
      <c r="E20" s="14" t="n"/>
      <c r="F20" s="81" t="n"/>
      <c r="G20" s="14" t="n"/>
      <c r="H20" s="14" t="n"/>
      <c r="I20" s="82" t="n"/>
      <c r="J20" s="14" t="n"/>
      <c r="K20" s="14" t="n"/>
    </row>
    <row r="21" ht="34" customHeight="1">
      <c r="A21" s="52" t="n">
        <v>17</v>
      </c>
      <c r="B21" s="12" t="n"/>
      <c r="C21" s="12" t="n"/>
      <c r="D21" s="12" t="n"/>
      <c r="E21" s="12" t="n"/>
      <c r="F21" s="54" t="n"/>
      <c r="G21" s="12" t="n"/>
      <c r="H21" s="12" t="n"/>
      <c r="I21" s="55" t="n"/>
      <c r="J21" s="12" t="n"/>
      <c r="K21" s="12" t="n"/>
    </row>
    <row r="22" ht="34" customHeight="1">
      <c r="A22" s="80" t="n">
        <v>18</v>
      </c>
      <c r="B22" s="14" t="n"/>
      <c r="C22" s="14" t="n"/>
      <c r="D22" s="14" t="n"/>
      <c r="E22" s="14" t="n"/>
      <c r="F22" s="81" t="n"/>
      <c r="G22" s="14" t="n"/>
      <c r="H22" s="14" t="n"/>
      <c r="I22" s="82" t="n"/>
      <c r="J22" s="14" t="n"/>
      <c r="K22" s="14" t="n"/>
    </row>
    <row r="23" ht="34" customHeight="1">
      <c r="A23" s="52" t="n">
        <v>19</v>
      </c>
      <c r="B23" s="12" t="n"/>
      <c r="C23" s="12" t="n"/>
      <c r="D23" s="12" t="n"/>
      <c r="E23" s="12" t="n"/>
      <c r="F23" s="54" t="n"/>
      <c r="G23" s="12" t="n"/>
      <c r="H23" s="12" t="n"/>
      <c r="I23" s="55" t="n"/>
      <c r="J23" s="12" t="n"/>
      <c r="K23" s="12" t="n"/>
    </row>
    <row r="24" ht="34" customHeight="1">
      <c r="A24" s="80" t="n">
        <v>20</v>
      </c>
      <c r="B24" s="14" t="n"/>
      <c r="C24" s="14" t="n"/>
      <c r="D24" s="14" t="n"/>
      <c r="E24" s="14" t="n"/>
      <c r="F24" s="81" t="n"/>
      <c r="G24" s="14" t="n"/>
      <c r="H24" s="14" t="n"/>
      <c r="I24" s="82" t="n"/>
      <c r="J24" s="14" t="n"/>
      <c r="K24" s="14" t="n"/>
    </row>
    <row r="25" ht="34" customHeight="1">
      <c r="A25" s="52" t="n">
        <v>21</v>
      </c>
      <c r="B25" s="12" t="n"/>
      <c r="C25" s="12" t="n"/>
      <c r="D25" s="12" t="n"/>
      <c r="E25" s="12" t="n"/>
      <c r="F25" s="54" t="n"/>
      <c r="G25" s="12" t="n"/>
      <c r="H25" s="12" t="n"/>
      <c r="I25" s="55" t="n"/>
      <c r="J25" s="12" t="n"/>
      <c r="K25" s="12" t="n"/>
    </row>
    <row r="26" ht="34" customHeight="1">
      <c r="A26" s="80" t="n">
        <v>22</v>
      </c>
      <c r="B26" s="14" t="n"/>
      <c r="C26" s="14" t="n"/>
      <c r="D26" s="14" t="n"/>
      <c r="E26" s="14" t="n"/>
      <c r="F26" s="81" t="n"/>
      <c r="G26" s="14" t="n"/>
      <c r="H26" s="14" t="n"/>
      <c r="I26" s="82" t="n"/>
      <c r="J26" s="14" t="n"/>
      <c r="K26" s="14" t="n"/>
    </row>
    <row r="27" ht="34" customHeight="1">
      <c r="A27" s="52" t="n">
        <v>23</v>
      </c>
      <c r="B27" s="12" t="n"/>
      <c r="C27" s="12" t="n"/>
      <c r="D27" s="12" t="n"/>
      <c r="E27" s="12" t="n"/>
      <c r="F27" s="54" t="n"/>
      <c r="G27" s="12" t="n"/>
      <c r="H27" s="12" t="n"/>
      <c r="I27" s="55" t="n"/>
      <c r="J27" s="12" t="n"/>
      <c r="K27" s="12" t="n"/>
    </row>
    <row r="28" ht="34" customHeight="1">
      <c r="A28" s="80" t="n">
        <v>24</v>
      </c>
      <c r="B28" s="14" t="n"/>
      <c r="C28" s="14" t="n"/>
      <c r="D28" s="14" t="n"/>
      <c r="E28" s="14" t="n"/>
      <c r="F28" s="81" t="n"/>
      <c r="G28" s="14" t="n"/>
      <c r="H28" s="14" t="n"/>
      <c r="I28" s="82" t="n"/>
      <c r="J28" s="14" t="n"/>
      <c r="K28" s="14" t="n"/>
    </row>
    <row r="29" ht="34" customHeight="1">
      <c r="A29" s="52" t="n">
        <v>25</v>
      </c>
      <c r="B29" s="12" t="n"/>
      <c r="C29" s="12" t="n"/>
      <c r="D29" s="12" t="n"/>
      <c r="E29" s="12" t="n"/>
      <c r="F29" s="54" t="n"/>
      <c r="G29" s="12" t="n"/>
      <c r="H29" s="12" t="n"/>
      <c r="I29" s="55" t="n"/>
      <c r="J29" s="12" t="n"/>
      <c r="K29" s="12" t="n"/>
    </row>
    <row r="30" ht="34" customHeight="1">
      <c r="A30" s="80" t="n">
        <v>26</v>
      </c>
      <c r="B30" s="14" t="n"/>
      <c r="C30" s="14" t="n"/>
      <c r="D30" s="14" t="n"/>
      <c r="E30" s="14" t="n"/>
      <c r="F30" s="81" t="n"/>
      <c r="G30" s="14" t="n"/>
      <c r="H30" s="14" t="n"/>
      <c r="I30" s="82" t="n"/>
      <c r="J30" s="14" t="n"/>
      <c r="K30" s="14" t="n"/>
    </row>
    <row r="31" ht="34" customHeight="1">
      <c r="A31" s="52" t="n">
        <v>27</v>
      </c>
      <c r="B31" s="12" t="n"/>
      <c r="C31" s="12" t="n"/>
      <c r="D31" s="12" t="n"/>
      <c r="E31" s="12" t="n"/>
      <c r="F31" s="54" t="n"/>
      <c r="G31" s="12" t="n"/>
      <c r="H31" s="12" t="n"/>
      <c r="I31" s="55" t="n"/>
      <c r="J31" s="12" t="n"/>
      <c r="K31" s="12" t="n"/>
    </row>
    <row r="32" ht="34" customHeight="1">
      <c r="A32" s="80" t="n">
        <v>28</v>
      </c>
      <c r="B32" s="14" t="n"/>
      <c r="C32" s="14" t="n"/>
      <c r="D32" s="14" t="n"/>
      <c r="E32" s="14" t="n"/>
      <c r="F32" s="81" t="n"/>
      <c r="G32" s="14" t="n"/>
      <c r="H32" s="14" t="n"/>
      <c r="I32" s="82" t="n"/>
      <c r="J32" s="14" t="n"/>
      <c r="K32" s="14" t="n"/>
    </row>
    <row r="33" ht="34" customHeight="1">
      <c r="A33" s="52" t="n">
        <v>29</v>
      </c>
      <c r="B33" s="12" t="n"/>
      <c r="C33" s="12" t="n"/>
      <c r="D33" s="12" t="n"/>
      <c r="E33" s="12" t="n"/>
      <c r="F33" s="54" t="n"/>
      <c r="G33" s="12" t="n"/>
      <c r="H33" s="12" t="n"/>
      <c r="I33" s="55" t="n"/>
      <c r="J33" s="12" t="n"/>
      <c r="K33" s="12" t="n"/>
    </row>
    <row r="34" ht="34" customHeight="1">
      <c r="A34" s="80" t="n">
        <v>30</v>
      </c>
      <c r="B34" s="14" t="n"/>
      <c r="C34" s="14" t="n"/>
      <c r="D34" s="14" t="n"/>
      <c r="E34" s="14" t="n"/>
      <c r="F34" s="81" t="n"/>
      <c r="G34" s="14" t="n"/>
      <c r="H34" s="14" t="n"/>
      <c r="I34" s="82" t="n"/>
      <c r="J34" s="14" t="n"/>
      <c r="K34" s="14" t="n"/>
    </row>
    <row r="35" ht="34" customHeight="1">
      <c r="A35" s="52" t="n">
        <v>31</v>
      </c>
      <c r="B35" s="12" t="n"/>
      <c r="C35" s="12" t="n"/>
      <c r="D35" s="12" t="n"/>
      <c r="E35" s="12" t="n"/>
      <c r="F35" s="54" t="n"/>
      <c r="G35" s="12" t="n"/>
      <c r="H35" s="12" t="n"/>
      <c r="I35" s="55" t="n"/>
      <c r="J35" s="12" t="n"/>
      <c r="K35" s="12" t="n"/>
    </row>
    <row r="36" ht="34" customHeight="1">
      <c r="A36" s="80" t="n">
        <v>32</v>
      </c>
      <c r="B36" s="14" t="n"/>
      <c r="C36" s="14" t="n"/>
      <c r="D36" s="14" t="n"/>
      <c r="E36" s="14" t="n"/>
      <c r="F36" s="81" t="n"/>
      <c r="G36" s="14" t="n"/>
      <c r="H36" s="14" t="n"/>
      <c r="I36" s="82" t="n"/>
      <c r="J36" s="14" t="n"/>
      <c r="K36" s="14" t="n"/>
    </row>
    <row r="37" ht="34" customHeight="1">
      <c r="A37" s="52" t="n">
        <v>33</v>
      </c>
      <c r="B37" s="12" t="n"/>
      <c r="C37" s="12" t="n"/>
      <c r="D37" s="12" t="n"/>
      <c r="E37" s="12" t="n"/>
      <c r="F37" s="54" t="n"/>
      <c r="G37" s="12" t="n"/>
      <c r="H37" s="12" t="n"/>
      <c r="I37" s="55" t="n"/>
      <c r="J37" s="12" t="n"/>
      <c r="K37" s="12" t="n"/>
    </row>
    <row r="38" ht="34" customHeight="1">
      <c r="A38" s="80" t="n">
        <v>34</v>
      </c>
      <c r="B38" s="14" t="n"/>
      <c r="C38" s="14" t="n"/>
      <c r="D38" s="14" t="n"/>
      <c r="E38" s="14" t="n"/>
      <c r="F38" s="81" t="n"/>
      <c r="G38" s="14" t="n"/>
      <c r="H38" s="14" t="n"/>
      <c r="I38" s="82" t="n"/>
      <c r="J38" s="14" t="n"/>
      <c r="K38" s="14" t="n"/>
    </row>
    <row r="39" ht="34" customHeight="1">
      <c r="A39" s="52" t="n">
        <v>35</v>
      </c>
      <c r="B39" s="12" t="n"/>
      <c r="C39" s="12" t="n"/>
      <c r="D39" s="12" t="n"/>
      <c r="E39" s="12" t="n"/>
      <c r="F39" s="54" t="n"/>
      <c r="G39" s="12" t="n"/>
      <c r="H39" s="12" t="n"/>
      <c r="I39" s="55" t="n"/>
      <c r="J39" s="12" t="n"/>
      <c r="K39" s="12" t="n"/>
    </row>
    <row r="40" ht="34" customHeight="1">
      <c r="A40" s="80" t="n">
        <v>36</v>
      </c>
      <c r="B40" s="14" t="n"/>
      <c r="C40" s="14" t="n"/>
      <c r="D40" s="14" t="n"/>
      <c r="E40" s="14" t="n"/>
      <c r="F40" s="81" t="n"/>
      <c r="G40" s="14" t="n"/>
      <c r="H40" s="14" t="n"/>
      <c r="I40" s="82" t="n"/>
      <c r="J40" s="14" t="n"/>
      <c r="K40" s="14" t="n"/>
    </row>
    <row r="41" ht="34" customHeight="1">
      <c r="A41" s="52" t="n">
        <v>37</v>
      </c>
      <c r="B41" s="12" t="n"/>
      <c r="C41" s="12" t="n"/>
      <c r="D41" s="12" t="n"/>
      <c r="E41" s="12" t="n"/>
      <c r="F41" s="54" t="n"/>
      <c r="G41" s="12" t="n"/>
      <c r="H41" s="12" t="n"/>
      <c r="I41" s="55" t="n"/>
      <c r="J41" s="12" t="n"/>
      <c r="K41" s="12" t="n"/>
    </row>
    <row r="42" ht="34" customHeight="1">
      <c r="A42" s="80" t="n">
        <v>38</v>
      </c>
      <c r="B42" s="14" t="n"/>
      <c r="C42" s="14" t="n"/>
      <c r="D42" s="14" t="n"/>
      <c r="E42" s="14" t="n"/>
      <c r="F42" s="81" t="n"/>
      <c r="G42" s="14" t="n"/>
      <c r="H42" s="14" t="n"/>
      <c r="I42" s="82" t="n"/>
      <c r="J42" s="14" t="n"/>
      <c r="K42" s="14" t="n"/>
    </row>
    <row r="43" ht="34" customHeight="1">
      <c r="A43" s="52" t="n">
        <v>39</v>
      </c>
      <c r="B43" s="12" t="n"/>
      <c r="C43" s="12" t="n"/>
      <c r="D43" s="12" t="n"/>
      <c r="E43" s="12" t="n"/>
      <c r="F43" s="54" t="n"/>
      <c r="G43" s="12" t="n"/>
      <c r="H43" s="12" t="n"/>
      <c r="I43" s="55" t="n"/>
      <c r="J43" s="12" t="n"/>
      <c r="K43" s="12" t="n"/>
    </row>
    <row r="44" ht="34" customHeight="1">
      <c r="A44" s="80" t="n">
        <v>40</v>
      </c>
      <c r="B44" s="14" t="n"/>
      <c r="C44" s="14" t="n"/>
      <c r="D44" s="14" t="n"/>
      <c r="E44" s="14" t="n"/>
      <c r="F44" s="81" t="n"/>
      <c r="G44" s="14" t="n"/>
      <c r="H44" s="14" t="n"/>
      <c r="I44" s="82" t="n"/>
      <c r="J44" s="14" t="n"/>
      <c r="K44" s="14" t="n"/>
    </row>
    <row r="45" ht="34" customHeight="1">
      <c r="A45" s="52" t="n">
        <v>41</v>
      </c>
      <c r="B45" s="12" t="n"/>
      <c r="C45" s="12" t="n"/>
      <c r="D45" s="12" t="n"/>
      <c r="E45" s="12" t="n"/>
      <c r="F45" s="54" t="n"/>
      <c r="G45" s="12" t="n"/>
      <c r="H45" s="12" t="n"/>
      <c r="I45" s="55" t="n"/>
      <c r="J45" s="12" t="n"/>
      <c r="K45" s="12" t="n"/>
    </row>
    <row r="46" ht="34" customHeight="1">
      <c r="A46" s="80" t="n">
        <v>42</v>
      </c>
      <c r="B46" s="14" t="n"/>
      <c r="C46" s="14" t="n"/>
      <c r="D46" s="14" t="n"/>
      <c r="E46" s="14" t="n"/>
      <c r="F46" s="81" t="n"/>
      <c r="G46" s="14" t="n"/>
      <c r="H46" s="14" t="n"/>
      <c r="I46" s="82" t="n"/>
      <c r="J46" s="14" t="n"/>
      <c r="K46" s="14" t="n"/>
    </row>
    <row r="47" ht="34" customHeight="1">
      <c r="A47" s="52" t="n">
        <v>43</v>
      </c>
      <c r="B47" s="12" t="n"/>
      <c r="C47" s="12" t="n"/>
      <c r="D47" s="12" t="n"/>
      <c r="E47" s="12" t="n"/>
      <c r="F47" s="54" t="n"/>
      <c r="G47" s="12" t="n"/>
      <c r="H47" s="12" t="n"/>
      <c r="I47" s="55" t="n"/>
      <c r="J47" s="12" t="n"/>
      <c r="K47" s="12" t="n"/>
    </row>
    <row r="48" ht="34" customHeight="1">
      <c r="A48" s="80" t="n">
        <v>44</v>
      </c>
      <c r="B48" s="14" t="n"/>
      <c r="C48" s="14" t="n"/>
      <c r="D48" s="14" t="n"/>
      <c r="E48" s="14" t="n"/>
      <c r="F48" s="81" t="n"/>
      <c r="G48" s="14" t="n"/>
      <c r="H48" s="14" t="n"/>
      <c r="I48" s="82" t="n"/>
      <c r="J48" s="14" t="n"/>
      <c r="K48" s="14" t="n"/>
    </row>
    <row r="49" ht="34" customHeight="1">
      <c r="A49" s="52" t="n">
        <v>45</v>
      </c>
      <c r="B49" s="12" t="n"/>
      <c r="C49" s="12" t="n"/>
      <c r="D49" s="12" t="n"/>
      <c r="E49" s="12" t="n"/>
      <c r="F49" s="54" t="n"/>
      <c r="G49" s="12" t="n"/>
      <c r="H49" s="12" t="n"/>
      <c r="I49" s="55" t="n"/>
      <c r="J49" s="12" t="n"/>
      <c r="K49" s="12" t="n"/>
    </row>
    <row r="50" ht="34" customHeight="1">
      <c r="A50" s="80" t="n">
        <v>46</v>
      </c>
      <c r="B50" s="14" t="n"/>
      <c r="C50" s="14" t="n"/>
      <c r="D50" s="14" t="n"/>
      <c r="E50" s="14" t="n"/>
      <c r="F50" s="81" t="n"/>
      <c r="G50" s="14" t="n"/>
      <c r="H50" s="14" t="n"/>
      <c r="I50" s="82" t="n"/>
      <c r="J50" s="14" t="n"/>
      <c r="K50" s="14" t="n"/>
    </row>
    <row r="51" ht="34" customHeight="1">
      <c r="A51" s="52" t="n">
        <v>47</v>
      </c>
      <c r="B51" s="12" t="n"/>
      <c r="C51" s="12" t="n"/>
      <c r="D51" s="12" t="n"/>
      <c r="E51" s="12" t="n"/>
      <c r="F51" s="54" t="n"/>
      <c r="G51" s="12" t="n"/>
      <c r="H51" s="12" t="n"/>
      <c r="I51" s="55" t="n"/>
      <c r="J51" s="12" t="n"/>
      <c r="K51" s="12" t="n"/>
    </row>
    <row r="52" ht="34" customHeight="1">
      <c r="A52" s="80" t="n">
        <v>48</v>
      </c>
      <c r="B52" s="14" t="n"/>
      <c r="C52" s="14" t="n"/>
      <c r="D52" s="14" t="n"/>
      <c r="E52" s="14" t="n"/>
      <c r="F52" s="81" t="n"/>
      <c r="G52" s="14" t="n"/>
      <c r="H52" s="14" t="n"/>
      <c r="I52" s="82" t="n"/>
      <c r="J52" s="14" t="n"/>
      <c r="K52" s="14" t="n"/>
    </row>
    <row r="53" ht="34" customHeight="1">
      <c r="A53" s="52" t="n">
        <v>49</v>
      </c>
      <c r="B53" s="12" t="n"/>
      <c r="C53" s="12" t="n"/>
      <c r="D53" s="12" t="n"/>
      <c r="E53" s="12" t="n"/>
      <c r="F53" s="54" t="n"/>
      <c r="G53" s="12" t="n"/>
      <c r="H53" s="12" t="n"/>
      <c r="I53" s="55" t="n"/>
      <c r="J53" s="12" t="n"/>
      <c r="K53" s="12" t="n"/>
    </row>
    <row r="54" ht="34" customHeight="1">
      <c r="A54" s="80" t="n">
        <v>50</v>
      </c>
      <c r="B54" s="14" t="n"/>
      <c r="C54" s="14" t="n"/>
      <c r="D54" s="14" t="n"/>
      <c r="E54" s="14" t="n"/>
      <c r="F54" s="81" t="n"/>
      <c r="G54" s="14" t="n"/>
      <c r="H54" s="14" t="n"/>
      <c r="I54" s="82" t="n"/>
      <c r="J54" s="14" t="n"/>
      <c r="K54" s="14" t="n"/>
    </row>
    <row r="55" ht="34" customHeight="1">
      <c r="A55" s="52" t="n">
        <v>51</v>
      </c>
      <c r="B55" s="12" t="n"/>
      <c r="C55" s="12" t="n"/>
      <c r="D55" s="12" t="n"/>
      <c r="E55" s="12" t="n"/>
      <c r="F55" s="54" t="n"/>
      <c r="G55" s="12" t="n"/>
      <c r="H55" s="12" t="n"/>
      <c r="I55" s="55" t="n"/>
      <c r="J55" s="12" t="n"/>
      <c r="K55" s="12" t="n"/>
    </row>
    <row r="56" ht="34" customHeight="1">
      <c r="A56" s="80" t="n">
        <v>52</v>
      </c>
      <c r="B56" s="14" t="n"/>
      <c r="C56" s="14" t="n"/>
      <c r="D56" s="14" t="n"/>
      <c r="E56" s="14" t="n"/>
      <c r="F56" s="81" t="n"/>
      <c r="G56" s="14" t="n"/>
      <c r="H56" s="14" t="n"/>
      <c r="I56" s="82" t="n"/>
      <c r="J56" s="14" t="n"/>
      <c r="K56" s="14" t="n"/>
    </row>
    <row r="57" ht="34" customHeight="1">
      <c r="A57" s="52" t="n">
        <v>53</v>
      </c>
      <c r="B57" s="12" t="n"/>
      <c r="C57" s="12" t="n"/>
      <c r="D57" s="12" t="n"/>
      <c r="E57" s="12" t="n"/>
      <c r="F57" s="54" t="n"/>
      <c r="G57" s="12" t="n"/>
      <c r="H57" s="12" t="n"/>
      <c r="I57" s="55" t="n"/>
      <c r="J57" s="12" t="n"/>
      <c r="K57" s="12" t="n"/>
    </row>
    <row r="58" ht="34" customHeight="1">
      <c r="A58" s="80" t="n">
        <v>54</v>
      </c>
      <c r="B58" s="14" t="n"/>
      <c r="C58" s="14" t="n"/>
      <c r="D58" s="14" t="n"/>
      <c r="E58" s="14" t="n"/>
      <c r="F58" s="81" t="n"/>
      <c r="G58" s="14" t="n"/>
      <c r="H58" s="14" t="n"/>
      <c r="I58" s="82" t="n"/>
      <c r="J58" s="14" t="n"/>
      <c r="K58" s="14" t="n"/>
    </row>
    <row r="59" ht="34" customHeight="1">
      <c r="A59" s="52" t="n">
        <v>55</v>
      </c>
      <c r="B59" s="12" t="n"/>
      <c r="C59" s="12" t="n"/>
      <c r="D59" s="12" t="n"/>
      <c r="E59" s="12" t="n"/>
      <c r="F59" s="54" t="n"/>
      <c r="G59" s="12" t="n"/>
      <c r="H59" s="12" t="n"/>
      <c r="I59" s="55" t="n"/>
      <c r="J59" s="12" t="n"/>
      <c r="K59" s="12" t="n"/>
    </row>
    <row r="60" ht="34" customHeight="1">
      <c r="A60" s="80" t="n">
        <v>56</v>
      </c>
      <c r="B60" s="14" t="n"/>
      <c r="C60" s="14" t="n"/>
      <c r="D60" s="14" t="n"/>
      <c r="E60" s="14" t="n"/>
      <c r="F60" s="81" t="n"/>
      <c r="G60" s="14" t="n"/>
      <c r="H60" s="14" t="n"/>
      <c r="I60" s="82" t="n"/>
      <c r="J60" s="14" t="n"/>
      <c r="K60" s="14" t="n"/>
    </row>
    <row r="61" ht="34" customHeight="1">
      <c r="A61" s="52" t="n">
        <v>57</v>
      </c>
      <c r="B61" s="12" t="n"/>
      <c r="C61" s="12" t="n"/>
      <c r="D61" s="12" t="n"/>
      <c r="E61" s="12" t="n"/>
      <c r="F61" s="54" t="n"/>
      <c r="G61" s="12" t="n"/>
      <c r="H61" s="12" t="n"/>
      <c r="I61" s="55" t="n"/>
      <c r="J61" s="12" t="n"/>
      <c r="K61" s="12" t="n"/>
    </row>
    <row r="62" ht="34" customHeight="1">
      <c r="A62" s="80" t="n">
        <v>58</v>
      </c>
      <c r="B62" s="14" t="n"/>
      <c r="C62" s="14" t="n"/>
      <c r="D62" s="14" t="n"/>
      <c r="E62" s="14" t="n"/>
      <c r="F62" s="81" t="n"/>
      <c r="G62" s="14" t="n"/>
      <c r="H62" s="14" t="n"/>
      <c r="I62" s="82" t="n"/>
      <c r="J62" s="14" t="n"/>
      <c r="K62" s="14" t="n"/>
    </row>
    <row r="63" ht="34" customHeight="1">
      <c r="A63" s="52" t="n">
        <v>59</v>
      </c>
      <c r="B63" s="12" t="n"/>
      <c r="C63" s="12" t="n"/>
      <c r="D63" s="12" t="n"/>
      <c r="E63" s="12" t="n"/>
      <c r="F63" s="54" t="n"/>
      <c r="G63" s="12" t="n"/>
      <c r="H63" s="12" t="n"/>
      <c r="I63" s="55" t="n"/>
      <c r="J63" s="12" t="n"/>
      <c r="K63" s="12" t="n"/>
    </row>
    <row r="64" ht="34" customHeight="1">
      <c r="A64" s="80" t="n">
        <v>60</v>
      </c>
      <c r="B64" s="14" t="n"/>
      <c r="C64" s="14" t="n"/>
      <c r="D64" s="14" t="n"/>
      <c r="E64" s="14" t="n"/>
      <c r="F64" s="81" t="n"/>
      <c r="G64" s="14" t="n"/>
      <c r="H64" s="14" t="n"/>
      <c r="I64" s="82" t="n"/>
      <c r="J64" s="14" t="n"/>
      <c r="K64" s="14" t="n"/>
    </row>
    <row r="65" ht="34" customHeight="1">
      <c r="A65" s="52" t="n">
        <v>61</v>
      </c>
      <c r="B65" s="12" t="n"/>
      <c r="C65" s="12" t="n"/>
      <c r="D65" s="12" t="n"/>
      <c r="E65" s="12" t="n"/>
      <c r="F65" s="54" t="n"/>
      <c r="G65" s="12" t="n"/>
      <c r="H65" s="12" t="n"/>
      <c r="I65" s="55" t="n"/>
      <c r="J65" s="12" t="n"/>
      <c r="K65" s="12" t="n"/>
    </row>
    <row r="66" ht="34" customHeight="1">
      <c r="A66" s="80" t="n">
        <v>62</v>
      </c>
      <c r="B66" s="14" t="n"/>
      <c r="C66" s="14" t="n"/>
      <c r="D66" s="14" t="n"/>
      <c r="E66" s="14" t="n"/>
      <c r="F66" s="81" t="n"/>
      <c r="G66" s="14" t="n"/>
      <c r="H66" s="14" t="n"/>
      <c r="I66" s="82" t="n"/>
      <c r="J66" s="14" t="n"/>
      <c r="K66" s="14" t="n"/>
    </row>
    <row r="67" ht="34" customHeight="1">
      <c r="A67" s="52" t="n">
        <v>63</v>
      </c>
      <c r="B67" s="12" t="n"/>
      <c r="C67" s="12" t="n"/>
      <c r="D67" s="12" t="n"/>
      <c r="E67" s="12" t="n"/>
      <c r="F67" s="54" t="n"/>
      <c r="G67" s="12" t="n"/>
      <c r="H67" s="12" t="n"/>
      <c r="I67" s="55" t="n"/>
      <c r="J67" s="12" t="n"/>
      <c r="K67" s="12" t="n"/>
    </row>
    <row r="68" ht="34" customHeight="1">
      <c r="A68" s="80" t="n">
        <v>64</v>
      </c>
      <c r="B68" s="14" t="n"/>
      <c r="C68" s="14" t="n"/>
      <c r="D68" s="14" t="n"/>
      <c r="E68" s="14" t="n"/>
      <c r="F68" s="81" t="n"/>
      <c r="G68" s="14" t="n"/>
      <c r="H68" s="14" t="n"/>
      <c r="I68" s="82" t="n"/>
      <c r="J68" s="14" t="n"/>
      <c r="K68" s="14" t="n"/>
    </row>
    <row r="69" ht="34" customHeight="1">
      <c r="A69" s="52" t="n">
        <v>65</v>
      </c>
      <c r="B69" s="12" t="n"/>
      <c r="C69" s="12" t="n"/>
      <c r="D69" s="12" t="n"/>
      <c r="E69" s="12" t="n"/>
      <c r="F69" s="54" t="n"/>
      <c r="G69" s="12" t="n"/>
      <c r="H69" s="12" t="n"/>
      <c r="I69" s="55" t="n"/>
      <c r="J69" s="12" t="n"/>
      <c r="K69" s="12" t="n"/>
    </row>
    <row r="70" ht="34" customHeight="1">
      <c r="A70" s="80" t="n">
        <v>66</v>
      </c>
      <c r="B70" s="14" t="n"/>
      <c r="C70" s="14" t="n"/>
      <c r="D70" s="14" t="n"/>
      <c r="E70" s="14" t="n"/>
      <c r="F70" s="81" t="n"/>
      <c r="G70" s="14" t="n"/>
      <c r="H70" s="14" t="n"/>
      <c r="I70" s="82" t="n"/>
      <c r="J70" s="14" t="n"/>
      <c r="K70" s="14" t="n"/>
    </row>
    <row r="71" ht="34" customHeight="1">
      <c r="A71" s="52" t="n">
        <v>67</v>
      </c>
      <c r="B71" s="12" t="n"/>
      <c r="C71" s="12" t="n"/>
      <c r="D71" s="12" t="n"/>
      <c r="E71" s="12" t="n"/>
      <c r="F71" s="54" t="n"/>
      <c r="G71" s="12" t="n"/>
      <c r="H71" s="12" t="n"/>
      <c r="I71" s="55" t="n"/>
      <c r="J71" s="12" t="n"/>
      <c r="K71" s="12" t="n"/>
    </row>
    <row r="72" ht="34" customHeight="1">
      <c r="A72" s="80" t="n">
        <v>68</v>
      </c>
      <c r="B72" s="14" t="n"/>
      <c r="C72" s="14" t="n"/>
      <c r="D72" s="14" t="n"/>
      <c r="E72" s="14" t="n"/>
      <c r="F72" s="81" t="n"/>
      <c r="G72" s="14" t="n"/>
      <c r="H72" s="14" t="n"/>
      <c r="I72" s="82" t="n"/>
      <c r="J72" s="14" t="n"/>
      <c r="K72" s="14" t="n"/>
    </row>
    <row r="73" ht="34" customHeight="1">
      <c r="A73" s="52" t="n">
        <v>69</v>
      </c>
      <c r="B73" s="12" t="n"/>
      <c r="C73" s="12" t="n"/>
      <c r="D73" s="12" t="n"/>
      <c r="E73" s="12" t="n"/>
      <c r="F73" s="54" t="n"/>
      <c r="G73" s="12" t="n"/>
      <c r="H73" s="12" t="n"/>
      <c r="I73" s="55" t="n"/>
      <c r="J73" s="12" t="n"/>
      <c r="K73" s="12" t="n"/>
    </row>
    <row r="74" ht="34" customHeight="1">
      <c r="A74" s="80" t="n">
        <v>70</v>
      </c>
      <c r="B74" s="14" t="n"/>
      <c r="C74" s="14" t="n"/>
      <c r="D74" s="14" t="n"/>
      <c r="E74" s="14" t="n"/>
      <c r="F74" s="81" t="n"/>
      <c r="G74" s="14" t="n"/>
      <c r="H74" s="14" t="n"/>
      <c r="I74" s="82" t="n"/>
      <c r="J74" s="14" t="n"/>
      <c r="K74" s="14" t="n"/>
    </row>
    <row r="75" ht="34" customHeight="1">
      <c r="A75" s="52" t="n">
        <v>71</v>
      </c>
      <c r="B75" s="12" t="n"/>
      <c r="C75" s="12" t="n"/>
      <c r="D75" s="12" t="n"/>
      <c r="E75" s="12" t="n"/>
      <c r="F75" s="54" t="n"/>
      <c r="G75" s="12" t="n"/>
      <c r="H75" s="12" t="n"/>
      <c r="I75" s="55" t="n"/>
      <c r="J75" s="12" t="n"/>
      <c r="K75" s="12" t="n"/>
    </row>
    <row r="76" ht="34" customHeight="1">
      <c r="A76" s="80" t="n">
        <v>72</v>
      </c>
      <c r="B76" s="14" t="n"/>
      <c r="C76" s="14" t="n"/>
      <c r="D76" s="14" t="n"/>
      <c r="E76" s="14" t="n"/>
      <c r="F76" s="81" t="n"/>
      <c r="G76" s="14" t="n"/>
      <c r="H76" s="14" t="n"/>
      <c r="I76" s="82" t="n"/>
      <c r="J76" s="14" t="n"/>
      <c r="K76" s="14" t="n"/>
    </row>
    <row r="77" ht="34" customHeight="1">
      <c r="A77" s="52" t="n">
        <v>73</v>
      </c>
      <c r="B77" s="12" t="n"/>
      <c r="C77" s="12" t="n"/>
      <c r="D77" s="12" t="n"/>
      <c r="E77" s="12" t="n"/>
      <c r="F77" s="54" t="n"/>
      <c r="G77" s="12" t="n"/>
      <c r="H77" s="12" t="n"/>
      <c r="I77" s="55" t="n"/>
      <c r="J77" s="12" t="n"/>
      <c r="K77" s="12" t="n"/>
    </row>
    <row r="78" ht="34" customHeight="1">
      <c r="A78" s="80" t="n">
        <v>74</v>
      </c>
      <c r="B78" s="14" t="n"/>
      <c r="C78" s="14" t="n"/>
      <c r="D78" s="14" t="n"/>
      <c r="E78" s="14" t="n"/>
      <c r="F78" s="81" t="n"/>
      <c r="G78" s="14" t="n"/>
      <c r="H78" s="14" t="n"/>
      <c r="I78" s="82" t="n"/>
      <c r="J78" s="14" t="n"/>
      <c r="K78" s="14" t="n"/>
    </row>
    <row r="79" ht="34" customHeight="1">
      <c r="A79" s="52" t="n">
        <v>75</v>
      </c>
      <c r="B79" s="12" t="n"/>
      <c r="C79" s="12" t="n"/>
      <c r="D79" s="12" t="n"/>
      <c r="E79" s="12" t="n"/>
      <c r="F79" s="54" t="n"/>
      <c r="G79" s="12" t="n"/>
      <c r="H79" s="12" t="n"/>
      <c r="I79" s="55" t="n"/>
      <c r="J79" s="12" t="n"/>
      <c r="K79" s="12" t="n"/>
    </row>
    <row r="80" ht="34" customHeight="1">
      <c r="A80" s="80" t="n">
        <v>76</v>
      </c>
      <c r="B80" s="14" t="n"/>
      <c r="C80" s="14" t="n"/>
      <c r="D80" s="14" t="n"/>
      <c r="E80" s="14" t="n"/>
      <c r="F80" s="81" t="n"/>
      <c r="G80" s="14" t="n"/>
      <c r="H80" s="14" t="n"/>
      <c r="I80" s="82" t="n"/>
      <c r="J80" s="14" t="n"/>
      <c r="K80" s="14" t="n"/>
    </row>
    <row r="81" ht="34" customHeight="1">
      <c r="A81" s="52" t="n">
        <v>77</v>
      </c>
      <c r="B81" s="12" t="n"/>
      <c r="C81" s="12" t="n"/>
      <c r="D81" s="12" t="n"/>
      <c r="E81" s="12" t="n"/>
      <c r="F81" s="54" t="n"/>
      <c r="G81" s="12" t="n"/>
      <c r="H81" s="12" t="n"/>
      <c r="I81" s="55" t="n"/>
      <c r="J81" s="12" t="n"/>
      <c r="K81" s="12" t="n"/>
    </row>
    <row r="82" ht="34" customHeight="1">
      <c r="A82" s="80" t="n">
        <v>78</v>
      </c>
      <c r="B82" s="14" t="n"/>
      <c r="C82" s="14" t="n"/>
      <c r="D82" s="14" t="n"/>
      <c r="E82" s="14" t="n"/>
      <c r="F82" s="81" t="n"/>
      <c r="G82" s="14" t="n"/>
      <c r="H82" s="14" t="n"/>
      <c r="I82" s="82" t="n"/>
      <c r="J82" s="14" t="n"/>
      <c r="K82" s="14" t="n"/>
    </row>
    <row r="83" ht="34" customHeight="1">
      <c r="A83" s="52" t="n">
        <v>79</v>
      </c>
      <c r="B83" s="12" t="n"/>
      <c r="C83" s="12" t="n"/>
      <c r="D83" s="12" t="n"/>
      <c r="E83" s="12" t="n"/>
      <c r="F83" s="54" t="n"/>
      <c r="G83" s="12" t="n"/>
      <c r="H83" s="12" t="n"/>
      <c r="I83" s="55" t="n"/>
      <c r="J83" s="12" t="n"/>
      <c r="K83" s="12" t="n"/>
    </row>
    <row r="84" ht="34" customHeight="1">
      <c r="A84" s="80" t="n">
        <v>80</v>
      </c>
      <c r="B84" s="14" t="n"/>
      <c r="C84" s="14" t="n"/>
      <c r="D84" s="14" t="n"/>
      <c r="E84" s="14" t="n"/>
      <c r="F84" s="81" t="n"/>
      <c r="G84" s="14" t="n"/>
      <c r="H84" s="14" t="n"/>
      <c r="I84" s="82" t="n"/>
      <c r="J84" s="14" t="n"/>
      <c r="K84" s="14" t="n"/>
    </row>
    <row r="85" ht="34" customHeight="1">
      <c r="A85" s="52" t="n">
        <v>81</v>
      </c>
      <c r="B85" s="12" t="n"/>
      <c r="C85" s="12" t="n"/>
      <c r="D85" s="12" t="n"/>
      <c r="E85" s="12" t="n"/>
      <c r="F85" s="54" t="n"/>
      <c r="G85" s="12" t="n"/>
      <c r="H85" s="12" t="n"/>
      <c r="I85" s="55" t="n"/>
      <c r="J85" s="12" t="n"/>
      <c r="K85" s="12" t="n"/>
    </row>
    <row r="86" ht="34" customHeight="1">
      <c r="A86" s="80" t="n">
        <v>82</v>
      </c>
      <c r="B86" s="14" t="n"/>
      <c r="C86" s="14" t="n"/>
      <c r="D86" s="14" t="n"/>
      <c r="E86" s="14" t="n"/>
      <c r="F86" s="81" t="n"/>
      <c r="G86" s="14" t="n"/>
      <c r="H86" s="14" t="n"/>
      <c r="I86" s="82" t="n"/>
      <c r="J86" s="14" t="n"/>
      <c r="K86" s="14" t="n"/>
    </row>
    <row r="87" ht="34" customHeight="1">
      <c r="A87" s="52" t="n">
        <v>83</v>
      </c>
      <c r="B87" s="12" t="n"/>
      <c r="C87" s="12" t="n"/>
      <c r="D87" s="12" t="n"/>
      <c r="E87" s="12" t="n"/>
      <c r="F87" s="54" t="n"/>
      <c r="G87" s="12" t="n"/>
      <c r="H87" s="12" t="n"/>
      <c r="I87" s="55" t="n"/>
      <c r="J87" s="12" t="n"/>
      <c r="K87" s="12" t="n"/>
    </row>
    <row r="88" ht="34" customHeight="1">
      <c r="A88" s="80" t="n">
        <v>84</v>
      </c>
      <c r="B88" s="14" t="n"/>
      <c r="C88" s="14" t="n"/>
      <c r="D88" s="14" t="n"/>
      <c r="E88" s="14" t="n"/>
      <c r="F88" s="81" t="n"/>
      <c r="G88" s="14" t="n"/>
      <c r="H88" s="14" t="n"/>
      <c r="I88" s="82" t="n"/>
      <c r="J88" s="14" t="n"/>
      <c r="K88" s="14" t="n"/>
    </row>
    <row r="89" ht="34" customHeight="1">
      <c r="A89" s="52" t="n">
        <v>85</v>
      </c>
      <c r="B89" s="12" t="n"/>
      <c r="C89" s="12" t="n"/>
      <c r="D89" s="12" t="n"/>
      <c r="E89" s="12" t="n"/>
      <c r="F89" s="54" t="n"/>
      <c r="G89" s="12" t="n"/>
      <c r="H89" s="12" t="n"/>
      <c r="I89" s="55" t="n"/>
      <c r="J89" s="12" t="n"/>
      <c r="K89" s="12" t="n"/>
    </row>
    <row r="90" ht="34" customHeight="1">
      <c r="A90" s="80" t="n">
        <v>86</v>
      </c>
      <c r="B90" s="14" t="n"/>
      <c r="C90" s="14" t="n"/>
      <c r="D90" s="14" t="n"/>
      <c r="E90" s="14" t="n"/>
      <c r="F90" s="81" t="n"/>
      <c r="G90" s="14" t="n"/>
      <c r="H90" s="14" t="n"/>
      <c r="I90" s="82" t="n"/>
      <c r="J90" s="14" t="n"/>
      <c r="K90" s="14" t="n"/>
    </row>
    <row r="91" ht="34" customHeight="1">
      <c r="A91" s="52" t="n">
        <v>87</v>
      </c>
      <c r="B91" s="12" t="n"/>
      <c r="C91" s="12" t="n"/>
      <c r="D91" s="12" t="n"/>
      <c r="E91" s="12" t="n"/>
      <c r="F91" s="54" t="n"/>
      <c r="G91" s="12" t="n"/>
      <c r="H91" s="12" t="n"/>
      <c r="I91" s="55" t="n"/>
      <c r="J91" s="12" t="n"/>
      <c r="K91" s="12" t="n"/>
    </row>
    <row r="92" ht="34" customHeight="1">
      <c r="A92" s="80" t="n">
        <v>88</v>
      </c>
      <c r="B92" s="14" t="n"/>
      <c r="C92" s="14" t="n"/>
      <c r="D92" s="14" t="n"/>
      <c r="E92" s="14" t="n"/>
      <c r="F92" s="81" t="n"/>
      <c r="G92" s="14" t="n"/>
      <c r="H92" s="14" t="n"/>
      <c r="I92" s="82" t="n"/>
      <c r="J92" s="14" t="n"/>
      <c r="K92" s="14" t="n"/>
    </row>
    <row r="93" ht="34" customHeight="1">
      <c r="A93" s="52" t="n">
        <v>89</v>
      </c>
      <c r="B93" s="12" t="n"/>
      <c r="C93" s="12" t="n"/>
      <c r="D93" s="12" t="n"/>
      <c r="E93" s="12" t="n"/>
      <c r="F93" s="54" t="n"/>
      <c r="G93" s="12" t="n"/>
      <c r="H93" s="12" t="n"/>
      <c r="I93" s="55" t="n"/>
      <c r="J93" s="12" t="n"/>
      <c r="K93" s="12" t="n"/>
    </row>
    <row r="94" ht="34" customHeight="1">
      <c r="A94" s="80" t="n">
        <v>90</v>
      </c>
      <c r="B94" s="14" t="n"/>
      <c r="C94" s="14" t="n"/>
      <c r="D94" s="14" t="n"/>
      <c r="E94" s="14" t="n"/>
      <c r="F94" s="81" t="n"/>
      <c r="G94" s="14" t="n"/>
      <c r="H94" s="14" t="n"/>
      <c r="I94" s="82" t="n"/>
      <c r="J94" s="14" t="n"/>
      <c r="K94" s="14" t="n"/>
    </row>
    <row r="95" ht="34" customHeight="1">
      <c r="A95" s="52" t="n">
        <v>91</v>
      </c>
      <c r="B95" s="12" t="n"/>
      <c r="C95" s="12" t="n"/>
      <c r="D95" s="12" t="n"/>
      <c r="E95" s="12" t="n"/>
      <c r="F95" s="54" t="n"/>
      <c r="G95" s="12" t="n"/>
      <c r="H95" s="12" t="n"/>
      <c r="I95" s="55" t="n"/>
      <c r="J95" s="12" t="n"/>
      <c r="K95" s="12" t="n"/>
    </row>
    <row r="96" ht="34" customHeight="1">
      <c r="A96" s="80" t="n">
        <v>92</v>
      </c>
      <c r="B96" s="14" t="n"/>
      <c r="C96" s="14" t="n"/>
      <c r="D96" s="14" t="n"/>
      <c r="E96" s="14" t="n"/>
      <c r="F96" s="81" t="n"/>
      <c r="G96" s="14" t="n"/>
      <c r="H96" s="14" t="n"/>
      <c r="I96" s="82" t="n"/>
      <c r="J96" s="14" t="n"/>
      <c r="K96" s="14" t="n"/>
    </row>
    <row r="97" ht="34" customHeight="1">
      <c r="A97" s="52" t="n">
        <v>93</v>
      </c>
      <c r="B97" s="12" t="n"/>
      <c r="C97" s="12" t="n"/>
      <c r="D97" s="12" t="n"/>
      <c r="E97" s="12" t="n"/>
      <c r="F97" s="54" t="n"/>
      <c r="G97" s="12" t="n"/>
      <c r="H97" s="12" t="n"/>
      <c r="I97" s="55" t="n"/>
      <c r="J97" s="12" t="n"/>
      <c r="K97" s="12" t="n"/>
    </row>
    <row r="98" ht="34" customHeight="1">
      <c r="A98" s="80" t="n">
        <v>94</v>
      </c>
      <c r="B98" s="14" t="n"/>
      <c r="C98" s="14" t="n"/>
      <c r="D98" s="14" t="n"/>
      <c r="E98" s="14" t="n"/>
      <c r="F98" s="81" t="n"/>
      <c r="G98" s="14" t="n"/>
      <c r="H98" s="14" t="n"/>
      <c r="I98" s="82" t="n"/>
      <c r="J98" s="14" t="n"/>
      <c r="K98" s="14" t="n"/>
    </row>
    <row r="99" ht="34" customHeight="1">
      <c r="A99" s="52" t="n">
        <v>95</v>
      </c>
      <c r="B99" s="12" t="n"/>
      <c r="C99" s="12" t="n"/>
      <c r="D99" s="12" t="n"/>
      <c r="E99" s="12" t="n"/>
      <c r="F99" s="54" t="n"/>
      <c r="G99" s="12" t="n"/>
      <c r="H99" s="12" t="n"/>
      <c r="I99" s="55" t="n"/>
      <c r="J99" s="12" t="n"/>
      <c r="K99" s="12" t="n"/>
    </row>
    <row r="100" ht="34" customHeight="1">
      <c r="A100" s="80" t="n">
        <v>96</v>
      </c>
      <c r="B100" s="14" t="n"/>
      <c r="C100" s="14" t="n"/>
      <c r="D100" s="14" t="n"/>
      <c r="E100" s="14" t="n"/>
      <c r="F100" s="81" t="n"/>
      <c r="G100" s="14" t="n"/>
      <c r="H100" s="14" t="n"/>
      <c r="I100" s="82" t="n"/>
      <c r="J100" s="14" t="n"/>
      <c r="K100" s="14" t="n"/>
    </row>
    <row r="101" ht="34" customHeight="1">
      <c r="A101" s="52" t="n">
        <v>97</v>
      </c>
      <c r="B101" s="12" t="n"/>
      <c r="C101" s="12" t="n"/>
      <c r="D101" s="12" t="n"/>
      <c r="E101" s="12" t="n"/>
      <c r="F101" s="54" t="n"/>
      <c r="G101" s="12" t="n"/>
      <c r="H101" s="12" t="n"/>
      <c r="I101" s="55" t="n"/>
      <c r="J101" s="12" t="n"/>
      <c r="K101" s="12" t="n"/>
    </row>
    <row r="102" ht="34" customHeight="1">
      <c r="A102" s="80" t="n">
        <v>98</v>
      </c>
      <c r="B102" s="14" t="n"/>
      <c r="C102" s="14" t="n"/>
      <c r="D102" s="14" t="n"/>
      <c r="E102" s="14" t="n"/>
      <c r="F102" s="81" t="n"/>
      <c r="G102" s="14" t="n"/>
      <c r="H102" s="14" t="n"/>
      <c r="I102" s="82" t="n"/>
      <c r="J102" s="14" t="n"/>
      <c r="K102" s="14" t="n"/>
    </row>
    <row r="103" ht="34" customHeight="1">
      <c r="A103" s="52" t="n">
        <v>99</v>
      </c>
      <c r="B103" s="12" t="n"/>
      <c r="C103" s="12" t="n"/>
      <c r="D103" s="12" t="n"/>
      <c r="E103" s="12" t="n"/>
      <c r="F103" s="54" t="n"/>
      <c r="G103" s="12" t="n"/>
      <c r="H103" s="12" t="n"/>
      <c r="I103" s="55" t="n"/>
      <c r="J103" s="12" t="n"/>
      <c r="K103" s="12" t="n"/>
    </row>
    <row r="104" ht="34" customHeight="1">
      <c r="A104" s="80" t="n">
        <v>100</v>
      </c>
      <c r="B104" s="14" t="n"/>
      <c r="C104" s="14" t="n"/>
      <c r="D104" s="14" t="n"/>
      <c r="E104" s="14" t="n"/>
      <c r="F104" s="81" t="n"/>
      <c r="G104" s="14" t="n"/>
      <c r="H104" s="14" t="n"/>
      <c r="I104" s="82" t="n"/>
      <c r="J104" s="14" t="n"/>
      <c r="K104" s="14" t="n"/>
    </row>
  </sheetData>
  <mergeCells count="2">
    <mergeCell ref="A2:K2"/>
    <mergeCell ref="A1:K1"/>
  </mergeCells>
  <dataValidations count="4">
    <dataValidation sqref="B5:B104" showDropDown="0" showInputMessage="0" showErrorMessage="0" allowBlank="1" type="list">
      <formula1>'⚙ Config'!$A$5:$A$44</formula1>
    </dataValidation>
    <dataValidation sqref="D5:D104" showDropDown="0" showInputMessage="0" showErrorMessage="0" allowBlank="1" type="list">
      <formula1>'⚙ Config'!$C$5:$C$44</formula1>
    </dataValidation>
    <dataValidation sqref="G5:G104" showDropDown="0" showInputMessage="0" showErrorMessage="0" allowBlank="1" type="list">
      <formula1>'⚙ Config'!$G$5:$G$8</formula1>
    </dataValidation>
    <dataValidation sqref="J5:J104" showDropDown="0" showInputMessage="0" showErrorMessage="0" allowBlank="1" type="list">
      <formula1>"⏳ Pending,✅ Approved,🔄 In Progress,✔ Completed,❌ Rejected"</formula1>
    </dataValidation>
  </dataValidations>
  <pageMargins left="0.75" right="0.75" top="1" bottom="1" header="0.5" footer="0.5"/>
  <pageSetup orientation="landscape" paperSize="9" fitToHeight="0" fitToWidth="1"/>
</worksheet>
</file>

<file path=xl/worksheets/sheet8.xml><?xml version="1.0" encoding="utf-8"?>
<worksheet xmlns="http://schemas.openxmlformats.org/spreadsheetml/2006/main">
  <sheetPr>
    <tabColor rgb="00ED7D31"/>
    <outlinePr summaryBelow="1" summaryRight="1"/>
    <pageSetUpPr/>
  </sheetPr>
  <dimension ref="A1:N29"/>
  <sheetViews>
    <sheetView showGridLines="0" workbookViewId="0">
      <selection activeCell="A1" sqref="A1"/>
    </sheetView>
  </sheetViews>
  <sheetFormatPr baseColWidth="8" defaultRowHeight="15"/>
  <cols>
    <col width="24" customWidth="1" min="1" max="1"/>
    <col width="4" customWidth="1" min="2" max="2"/>
    <col width="12" customWidth="1" min="3" max="3"/>
    <col width="4" customWidth="1" min="4" max="4"/>
    <col width="12" customWidth="1" min="5" max="5"/>
    <col width="4" customWidth="1" min="6" max="6"/>
    <col width="12" customWidth="1" min="7" max="7"/>
    <col width="4" customWidth="1" min="8" max="8"/>
    <col width="12" customWidth="1" min="9" max="9"/>
    <col width="4" customWidth="1" min="10" max="10"/>
    <col width="20" customWidth="1" min="11" max="11"/>
    <col width="4" customWidth="1" min="12" max="12"/>
    <col width="14" customWidth="1" min="13" max="13"/>
    <col width="16" customWidth="1" min="14" max="14"/>
  </cols>
  <sheetData>
    <row r="1" ht="38" customHeight="1">
      <c r="A1" s="83" t="inlineStr">
        <is>
          <t>📅  WEEKLY SUPPORT REPORT</t>
        </is>
      </c>
    </row>
    <row r="2" ht="18" customHeight="1">
      <c r="A2" s="84" t="inlineStr">
        <is>
          <t>Auto-summary of visit activity for the selected week. Select Week and Year below.</t>
        </is>
      </c>
    </row>
    <row r="3" ht="26" customHeight="1">
      <c r="A3" s="85" t="inlineStr">
        <is>
          <t>Select Week:</t>
        </is>
      </c>
      <c r="C3" s="86" t="inlineStr"/>
      <c r="E3" s="85" t="inlineStr">
        <is>
          <t>Year:</t>
        </is>
      </c>
      <c r="G3" s="86" t="inlineStr"/>
      <c r="I3" s="85" t="inlineStr">
        <is>
          <t>Client:</t>
        </is>
      </c>
      <c r="J3" s="87">
        <f>'📋 Site Cover'!C4</f>
        <v/>
      </c>
      <c r="K3" s="146" t="n"/>
      <c r="L3" s="146" t="n"/>
      <c r="M3" s="146" t="n"/>
      <c r="N3" s="146" t="n"/>
    </row>
    <row r="4" ht="8" customHeight="1"/>
    <row r="5" ht="24" customHeight="1">
      <c r="A5" s="33" t="inlineStr">
        <is>
          <t>KEY METRICS THIS WEEK</t>
        </is>
      </c>
    </row>
    <row r="6" ht="22" customHeight="1">
      <c r="A6" s="88" t="inlineStr">
        <is>
          <t>Total Issues</t>
        </is>
      </c>
      <c r="B6" s="113" t="n"/>
      <c r="C6" s="89" t="inlineStr">
        <is>
          <t>Resolved</t>
        </is>
      </c>
      <c r="D6" s="113" t="n"/>
      <c r="E6" s="90" t="inlineStr">
        <is>
          <t>Unresolved</t>
        </is>
      </c>
      <c r="F6" s="113" t="n"/>
      <c r="G6" s="91" t="inlineStr">
        <is>
          <t>In Progress</t>
        </is>
      </c>
      <c r="H6" s="113" t="n"/>
      <c r="I6" s="90" t="inlineStr">
        <is>
          <t>Critical</t>
        </is>
      </c>
      <c r="J6" s="113" t="n"/>
      <c r="K6" s="92" t="inlineStr">
        <is>
          <t>Parts Cost (KES)</t>
        </is>
      </c>
      <c r="L6" s="113" t="n"/>
      <c r="M6" s="93" t="inlineStr">
        <is>
          <t>Avg Resolution Time</t>
        </is>
      </c>
      <c r="N6" s="113" t="n"/>
    </row>
    <row r="7" ht="36" customHeight="1">
      <c r="A7" s="94">
        <f>COUNTA('📝 Visit Log'!H9:H108)</f>
        <v/>
      </c>
      <c r="B7" s="113" t="n"/>
      <c r="C7" s="95">
        <f>COUNTIF('📝 Visit Log'!L9:L108,"Yes")</f>
        <v/>
      </c>
      <c r="D7" s="113" t="n"/>
      <c r="E7" s="96">
        <f>COUNTIF('📝 Visit Log'!L9:L108,"No")</f>
        <v/>
      </c>
      <c r="F7" s="113" t="n"/>
      <c r="G7" s="97">
        <f>COUNTIF('📝 Visit Log'!K9:K108,"🔄 In Progress")</f>
        <v/>
      </c>
      <c r="H7" s="113" t="n"/>
      <c r="I7" s="96">
        <f>COUNTIF('📝 Visit Log'!Q9:Q108,"🔴 Critical")</f>
        <v/>
      </c>
      <c r="J7" s="113" t="n"/>
      <c r="K7" s="98">
        <f>SUM('📝 Visit Log'!O9:O108)</f>
        <v/>
      </c>
      <c r="L7" s="113" t="n"/>
      <c r="M7" s="99">
        <f>IFERROR(AVERAGE('📝 Visit Log'!M9:M108),0)</f>
        <v/>
      </c>
      <c r="N7" s="113" t="n"/>
    </row>
    <row r="8" ht="8" customHeight="1"/>
    <row r="9" ht="22" customHeight="1">
      <c r="A9" s="34" t="inlineStr">
        <is>
          <t>DEPARTMENT BREAKDOWN</t>
        </is>
      </c>
    </row>
    <row r="10" ht="26" customHeight="1">
      <c r="A10" s="11" t="inlineStr">
        <is>
          <t>Department</t>
        </is>
      </c>
      <c r="B10" s="113" t="n"/>
      <c r="C10" s="11" t="inlineStr">
        <is>
          <t>Issues</t>
        </is>
      </c>
      <c r="D10" s="113" t="n"/>
      <c r="E10" s="11" t="inlineStr">
        <is>
          <t>Resolved</t>
        </is>
      </c>
      <c r="F10" s="113" t="n"/>
      <c r="G10" s="11" t="inlineStr">
        <is>
          <t>Unresolved</t>
        </is>
      </c>
      <c r="H10" s="113" t="n"/>
      <c r="I10" s="11" t="inlineStr">
        <is>
          <t>Critical</t>
        </is>
      </c>
      <c r="J10" s="113" t="n"/>
      <c r="K10" s="11" t="inlineStr">
        <is>
          <t>Further Requests</t>
        </is>
      </c>
      <c r="L10" s="113" t="n"/>
    </row>
    <row r="11" ht="22" customHeight="1">
      <c r="A11" s="100" t="inlineStr">
        <is>
          <t>School</t>
        </is>
      </c>
      <c r="B11" s="115" t="n"/>
      <c r="C11" s="101">
        <f>COUNTIF('📝 Visit Log'!$B$9:$B$108,A11)</f>
        <v/>
      </c>
      <c r="D11" s="115" t="n"/>
      <c r="E11" s="101">
        <f>COUNTIFS('📝 Visit Log'!$B$9:$B$108,A11,'📝 Visit Log'!$L$9:$L$108,"Yes")</f>
        <v/>
      </c>
      <c r="F11" s="115" t="n"/>
      <c r="G11" s="101">
        <f>COUNTIFS('📝 Visit Log'!$B$9:$B$108,A11,'📝 Visit Log'!$L$9:$L$108,"No")</f>
        <v/>
      </c>
      <c r="H11" s="115" t="n"/>
      <c r="I11" s="101">
        <f>COUNTIFS('📝 Visit Log'!$B$9:$B$108,A11,'📝 Visit Log'!$Q$9:$Q$108,"🔴 Critical")</f>
        <v/>
      </c>
      <c r="J11" s="115" t="n"/>
      <c r="K11" s="101">
        <f>COUNTIFS('📝 Visit Log'!$B$9:$B$108,A11,'📝 Visit Log'!$P$9:$P$108,"&lt;&gt;"&amp;"")</f>
        <v/>
      </c>
      <c r="L11" s="115" t="n"/>
    </row>
    <row r="12" ht="22" customHeight="1">
      <c r="A12" s="102" t="inlineStr">
        <is>
          <t>Homes</t>
        </is>
      </c>
      <c r="B12" s="115" t="n"/>
      <c r="C12" s="103">
        <f>COUNTIF('📝 Visit Log'!$B$9:$B$108,A12)</f>
        <v/>
      </c>
      <c r="D12" s="115" t="n"/>
      <c r="E12" s="103">
        <f>COUNTIFS('📝 Visit Log'!$B$9:$B$108,A12,'📝 Visit Log'!$L$9:$L$108,"Yes")</f>
        <v/>
      </c>
      <c r="F12" s="115" t="n"/>
      <c r="G12" s="103">
        <f>COUNTIFS('📝 Visit Log'!$B$9:$B$108,A12,'📝 Visit Log'!$L$9:$L$108,"No")</f>
        <v/>
      </c>
      <c r="H12" s="115" t="n"/>
      <c r="I12" s="103">
        <f>COUNTIFS('📝 Visit Log'!$B$9:$B$108,A12,'📝 Visit Log'!$Q$9:$Q$108,"🔴 Critical")</f>
        <v/>
      </c>
      <c r="J12" s="115" t="n"/>
      <c r="K12" s="103">
        <f>COUNTIFS('📝 Visit Log'!$B$9:$B$108,A12,'📝 Visit Log'!$P$9:$P$108,"&lt;&gt;"&amp;"")</f>
        <v/>
      </c>
      <c r="L12" s="115" t="n"/>
    </row>
    <row r="13" ht="22" customHeight="1">
      <c r="A13" s="100" t="inlineStr">
        <is>
          <t>Education</t>
        </is>
      </c>
      <c r="B13" s="115" t="n"/>
      <c r="C13" s="101">
        <f>COUNTIF('📝 Visit Log'!$B$9:$B$108,A13)</f>
        <v/>
      </c>
      <c r="D13" s="115" t="n"/>
      <c r="E13" s="101">
        <f>COUNTIFS('📝 Visit Log'!$B$9:$B$108,A13,'📝 Visit Log'!$L$9:$L$108,"Yes")</f>
        <v/>
      </c>
      <c r="F13" s="115" t="n"/>
      <c r="G13" s="101">
        <f>COUNTIFS('📝 Visit Log'!$B$9:$B$108,A13,'📝 Visit Log'!$L$9:$L$108,"No")</f>
        <v/>
      </c>
      <c r="H13" s="115" t="n"/>
      <c r="I13" s="101">
        <f>COUNTIFS('📝 Visit Log'!$B$9:$B$108,A13,'📝 Visit Log'!$Q$9:$Q$108,"🔴 Critical")</f>
        <v/>
      </c>
      <c r="J13" s="115" t="n"/>
      <c r="K13" s="101">
        <f>COUNTIFS('📝 Visit Log'!$B$9:$B$108,A13,'📝 Visit Log'!$P$9:$P$108,"&lt;&gt;"&amp;"")</f>
        <v/>
      </c>
      <c r="L13" s="115" t="n"/>
    </row>
    <row r="14" ht="22" customHeight="1">
      <c r="A14" s="102" t="inlineStr">
        <is>
          <t>Finance</t>
        </is>
      </c>
      <c r="B14" s="115" t="n"/>
      <c r="C14" s="103">
        <f>COUNTIF('📝 Visit Log'!$B$9:$B$108,A14)</f>
        <v/>
      </c>
      <c r="D14" s="115" t="n"/>
      <c r="E14" s="103">
        <f>COUNTIFS('📝 Visit Log'!$B$9:$B$108,A14,'📝 Visit Log'!$L$9:$L$108,"Yes")</f>
        <v/>
      </c>
      <c r="F14" s="115" t="n"/>
      <c r="G14" s="103">
        <f>COUNTIFS('📝 Visit Log'!$B$9:$B$108,A14,'📝 Visit Log'!$L$9:$L$108,"No")</f>
        <v/>
      </c>
      <c r="H14" s="115" t="n"/>
      <c r="I14" s="103">
        <f>COUNTIFS('📝 Visit Log'!$B$9:$B$108,A14,'📝 Visit Log'!$Q$9:$Q$108,"🔴 Critical")</f>
        <v/>
      </c>
      <c r="J14" s="115" t="n"/>
      <c r="K14" s="103">
        <f>COUNTIFS('📝 Visit Log'!$B$9:$B$108,A14,'📝 Visit Log'!$P$9:$P$108,"&lt;&gt;"&amp;"")</f>
        <v/>
      </c>
      <c r="L14" s="115" t="n"/>
    </row>
    <row r="15" ht="22" customHeight="1">
      <c r="A15" s="100" t="inlineStr">
        <is>
          <t>Procurement</t>
        </is>
      </c>
      <c r="B15" s="115" t="n"/>
      <c r="C15" s="101">
        <f>COUNTIF('📝 Visit Log'!$B$9:$B$108,A15)</f>
        <v/>
      </c>
      <c r="D15" s="115" t="n"/>
      <c r="E15" s="101">
        <f>COUNTIFS('📝 Visit Log'!$B$9:$B$108,A15,'📝 Visit Log'!$L$9:$L$108,"Yes")</f>
        <v/>
      </c>
      <c r="F15" s="115" t="n"/>
      <c r="G15" s="101">
        <f>COUNTIFS('📝 Visit Log'!$B$9:$B$108,A15,'📝 Visit Log'!$L$9:$L$108,"No")</f>
        <v/>
      </c>
      <c r="H15" s="115" t="n"/>
      <c r="I15" s="101">
        <f>COUNTIFS('📝 Visit Log'!$B$9:$B$108,A15,'📝 Visit Log'!$Q$9:$Q$108,"🔴 Critical")</f>
        <v/>
      </c>
      <c r="J15" s="115" t="n"/>
      <c r="K15" s="101">
        <f>COUNTIFS('📝 Visit Log'!$B$9:$B$108,A15,'📝 Visit Log'!$P$9:$P$108,"&lt;&gt;"&amp;"")</f>
        <v/>
      </c>
      <c r="L15" s="115" t="n"/>
    </row>
    <row r="16" ht="22" customHeight="1">
      <c r="A16" s="102" t="inlineStr">
        <is>
          <t>Farm &amp; Business</t>
        </is>
      </c>
      <c r="B16" s="115" t="n"/>
      <c r="C16" s="103">
        <f>COUNTIF('📝 Visit Log'!$B$9:$B$108,A16)</f>
        <v/>
      </c>
      <c r="D16" s="115" t="n"/>
      <c r="E16" s="103">
        <f>COUNTIFS('📝 Visit Log'!$B$9:$B$108,A16,'📝 Visit Log'!$L$9:$L$108,"Yes")</f>
        <v/>
      </c>
      <c r="F16" s="115" t="n"/>
      <c r="G16" s="103">
        <f>COUNTIFS('📝 Visit Log'!$B$9:$B$108,A16,'📝 Visit Log'!$L$9:$L$108,"No")</f>
        <v/>
      </c>
      <c r="H16" s="115" t="n"/>
      <c r="I16" s="103">
        <f>COUNTIFS('📝 Visit Log'!$B$9:$B$108,A16,'📝 Visit Log'!$Q$9:$Q$108,"🔴 Critical")</f>
        <v/>
      </c>
      <c r="J16" s="115" t="n"/>
      <c r="K16" s="103">
        <f>COUNTIFS('📝 Visit Log'!$B$9:$B$108,A16,'📝 Visit Log'!$P$9:$P$108,"&lt;&gt;"&amp;"")</f>
        <v/>
      </c>
      <c r="L16" s="115" t="n"/>
    </row>
    <row r="17" ht="22" customHeight="1">
      <c r="A17" s="100" t="inlineStr">
        <is>
          <t>Clinic</t>
        </is>
      </c>
      <c r="B17" s="115" t="n"/>
      <c r="C17" s="101">
        <f>COUNTIF('📝 Visit Log'!$B$9:$B$108,A17)</f>
        <v/>
      </c>
      <c r="D17" s="115" t="n"/>
      <c r="E17" s="101">
        <f>COUNTIFS('📝 Visit Log'!$B$9:$B$108,A17,'📝 Visit Log'!$L$9:$L$108,"Yes")</f>
        <v/>
      </c>
      <c r="F17" s="115" t="n"/>
      <c r="G17" s="101">
        <f>COUNTIFS('📝 Visit Log'!$B$9:$B$108,A17,'📝 Visit Log'!$L$9:$L$108,"No")</f>
        <v/>
      </c>
      <c r="H17" s="115" t="n"/>
      <c r="I17" s="101">
        <f>COUNTIFS('📝 Visit Log'!$B$9:$B$108,A17,'📝 Visit Log'!$Q$9:$Q$108,"🔴 Critical")</f>
        <v/>
      </c>
      <c r="J17" s="115" t="n"/>
      <c r="K17" s="101">
        <f>COUNTIFS('📝 Visit Log'!$B$9:$B$108,A17,'📝 Visit Log'!$P$9:$P$108,"&lt;&gt;"&amp;"")</f>
        <v/>
      </c>
      <c r="L17" s="115" t="n"/>
    </row>
    <row r="18" ht="22" customHeight="1">
      <c r="A18" s="102" t="inlineStr">
        <is>
          <t>HR</t>
        </is>
      </c>
      <c r="B18" s="115" t="n"/>
      <c r="C18" s="103">
        <f>COUNTIF('📝 Visit Log'!$B$9:$B$108,A18)</f>
        <v/>
      </c>
      <c r="D18" s="115" t="n"/>
      <c r="E18" s="103">
        <f>COUNTIFS('📝 Visit Log'!$B$9:$B$108,A18,'📝 Visit Log'!$L$9:$L$108,"Yes")</f>
        <v/>
      </c>
      <c r="F18" s="115" t="n"/>
      <c r="G18" s="103">
        <f>COUNTIFS('📝 Visit Log'!$B$9:$B$108,A18,'📝 Visit Log'!$L$9:$L$108,"No")</f>
        <v/>
      </c>
      <c r="H18" s="115" t="n"/>
      <c r="I18" s="103">
        <f>COUNTIFS('📝 Visit Log'!$B$9:$B$108,A18,'📝 Visit Log'!$Q$9:$Q$108,"🔴 Critical")</f>
        <v/>
      </c>
      <c r="J18" s="115" t="n"/>
      <c r="K18" s="103">
        <f>COUNTIFS('📝 Visit Log'!$B$9:$B$108,A18,'📝 Visit Log'!$P$9:$P$108,"&lt;&gt;"&amp;"")</f>
        <v/>
      </c>
      <c r="L18" s="115" t="n"/>
    </row>
    <row r="19" ht="22" customHeight="1">
      <c r="A19" s="100" t="inlineStr">
        <is>
          <t>Church</t>
        </is>
      </c>
      <c r="B19" s="115" t="n"/>
      <c r="C19" s="101">
        <f>COUNTIF('📝 Visit Log'!$B$9:$B$108,A19)</f>
        <v/>
      </c>
      <c r="D19" s="115" t="n"/>
      <c r="E19" s="101">
        <f>COUNTIFS('📝 Visit Log'!$B$9:$B$108,A19,'📝 Visit Log'!$L$9:$L$108,"Yes")</f>
        <v/>
      </c>
      <c r="F19" s="115" t="n"/>
      <c r="G19" s="101">
        <f>COUNTIFS('📝 Visit Log'!$B$9:$B$108,A19,'📝 Visit Log'!$L$9:$L$108,"No")</f>
        <v/>
      </c>
      <c r="H19" s="115" t="n"/>
      <c r="I19" s="101">
        <f>COUNTIFS('📝 Visit Log'!$B$9:$B$108,A19,'📝 Visit Log'!$Q$9:$Q$108,"🔴 Critical")</f>
        <v/>
      </c>
      <c r="J19" s="115" t="n"/>
      <c r="K19" s="101">
        <f>COUNTIFS('📝 Visit Log'!$B$9:$B$108,A19,'📝 Visit Log'!$P$9:$P$108,"&lt;&gt;"&amp;"")</f>
        <v/>
      </c>
      <c r="L19" s="115" t="n"/>
    </row>
    <row r="20" ht="22" customHeight="1">
      <c r="A20" s="102" t="inlineStr">
        <is>
          <t>Admin</t>
        </is>
      </c>
      <c r="B20" s="115" t="n"/>
      <c r="C20" s="103">
        <f>COUNTIF('📝 Visit Log'!$B$9:$B$108,A20)</f>
        <v/>
      </c>
      <c r="D20" s="115" t="n"/>
      <c r="E20" s="103">
        <f>COUNTIFS('📝 Visit Log'!$B$9:$B$108,A20,'📝 Visit Log'!$L$9:$L$108,"Yes")</f>
        <v/>
      </c>
      <c r="F20" s="115" t="n"/>
      <c r="G20" s="103">
        <f>COUNTIFS('📝 Visit Log'!$B$9:$B$108,A20,'📝 Visit Log'!$L$9:$L$108,"No")</f>
        <v/>
      </c>
      <c r="H20" s="115" t="n"/>
      <c r="I20" s="103">
        <f>COUNTIFS('📝 Visit Log'!$B$9:$B$108,A20,'📝 Visit Log'!$Q$9:$Q$108,"🔴 Critical")</f>
        <v/>
      </c>
      <c r="J20" s="115" t="n"/>
      <c r="K20" s="103">
        <f>COUNTIFS('📝 Visit Log'!$B$9:$B$108,A20,'📝 Visit Log'!$P$9:$P$108,"&lt;&gt;"&amp;"")</f>
        <v/>
      </c>
      <c r="L20" s="115" t="n"/>
    </row>
    <row r="21" ht="22" customHeight="1">
      <c r="A21" s="100" t="inlineStr">
        <is>
          <t>Teams &amp; Guests</t>
        </is>
      </c>
      <c r="B21" s="115" t="n"/>
      <c r="C21" s="101">
        <f>COUNTIF('📝 Visit Log'!$B$9:$B$108,A21)</f>
        <v/>
      </c>
      <c r="D21" s="115" t="n"/>
      <c r="E21" s="101">
        <f>COUNTIFS('📝 Visit Log'!$B$9:$B$108,A21,'📝 Visit Log'!$L$9:$L$108,"Yes")</f>
        <v/>
      </c>
      <c r="F21" s="115" t="n"/>
      <c r="G21" s="101">
        <f>COUNTIFS('📝 Visit Log'!$B$9:$B$108,A21,'📝 Visit Log'!$L$9:$L$108,"No")</f>
        <v/>
      </c>
      <c r="H21" s="115" t="n"/>
      <c r="I21" s="101">
        <f>COUNTIFS('📝 Visit Log'!$B$9:$B$108,A21,'📝 Visit Log'!$Q$9:$Q$108,"🔴 Critical")</f>
        <v/>
      </c>
      <c r="J21" s="115" t="n"/>
      <c r="K21" s="101">
        <f>COUNTIFS('📝 Visit Log'!$B$9:$B$108,A21,'📝 Visit Log'!$P$9:$P$108,"&lt;&gt;"&amp;"")</f>
        <v/>
      </c>
      <c r="L21" s="115" t="n"/>
    </row>
    <row r="22" ht="22" customHeight="1">
      <c r="A22" s="102" t="inlineStr">
        <is>
          <t>Central Kitchen</t>
        </is>
      </c>
      <c r="B22" s="115" t="n"/>
      <c r="C22" s="103">
        <f>COUNTIF('📝 Visit Log'!$B$9:$B$108,A22)</f>
        <v/>
      </c>
      <c r="D22" s="115" t="n"/>
      <c r="E22" s="103">
        <f>COUNTIFS('📝 Visit Log'!$B$9:$B$108,A22,'📝 Visit Log'!$L$9:$L$108,"Yes")</f>
        <v/>
      </c>
      <c r="F22" s="115" t="n"/>
      <c r="G22" s="103">
        <f>COUNTIFS('📝 Visit Log'!$B$9:$B$108,A22,'📝 Visit Log'!$L$9:$L$108,"No")</f>
        <v/>
      </c>
      <c r="H22" s="115" t="n"/>
      <c r="I22" s="103">
        <f>COUNTIFS('📝 Visit Log'!$B$9:$B$108,A22,'📝 Visit Log'!$Q$9:$Q$108,"🔴 Critical")</f>
        <v/>
      </c>
      <c r="J22" s="115" t="n"/>
      <c r="K22" s="103">
        <f>COUNTIFS('📝 Visit Log'!$B$9:$B$108,A22,'📝 Visit Log'!$P$9:$P$108,"&lt;&gt;"&amp;"")</f>
        <v/>
      </c>
      <c r="L22" s="115" t="n"/>
    </row>
    <row r="23" ht="8" customHeight="1"/>
    <row r="24" ht="20" customHeight="1">
      <c r="A24" s="36" t="inlineStr">
        <is>
          <t>━━  REPORT ACKNOWLEDGEMENT &amp; SIGN-OFF  ━━</t>
        </is>
      </c>
    </row>
    <row r="25" ht="20" customHeight="1">
      <c r="A25" s="37" t="inlineStr">
        <is>
          <t>🔧  TECHNICIAN / ENGINEER</t>
        </is>
      </c>
      <c r="H25" s="38" t="inlineStr">
        <is>
          <t>✅  CLIENT / ADMIN COUNTER-SIGNATURE</t>
        </is>
      </c>
    </row>
    <row r="26" ht="50" customHeight="1">
      <c r="A26" s="39" t="inlineStr">
        <is>
          <t>Name:      ___________________________
Signature: ___________________________
Date:      _______________</t>
        </is>
      </c>
      <c r="B26" s="112" t="n"/>
      <c r="C26" s="112" t="n"/>
      <c r="D26" s="112" t="n"/>
      <c r="E26" s="112" t="n"/>
      <c r="F26" s="112" t="n"/>
      <c r="G26" s="113" t="n"/>
      <c r="H26" s="40" t="inlineStr">
        <is>
          <t>Name:        ___________________________
Designation: ___________________________
Signature:   ___________________________
Date:        _______________</t>
        </is>
      </c>
      <c r="I26" s="112" t="n"/>
      <c r="J26" s="112" t="n"/>
      <c r="K26" s="112" t="n"/>
      <c r="L26" s="112" t="n"/>
      <c r="M26" s="112" t="n"/>
      <c r="N26" s="113" t="n"/>
    </row>
    <row r="27" ht="50" customHeight="1"/>
    <row r="28" ht="20" customHeight="1">
      <c r="A28" s="41" t="inlineStr">
        <is>
          <t>DECLARATION</t>
        </is>
      </c>
    </row>
    <row r="29" ht="30" customHeight="1">
      <c r="A29" s="42" t="inlineStr">
        <is>
          <t>I/We confirm that issues, actions and findings documented in this report are accurate and reflect the work carried out during this visit. Outstanding items have been communicated. Both parties agree to the contents of this report.</t>
        </is>
      </c>
      <c r="B29" s="112" t="n"/>
      <c r="C29" s="112" t="n"/>
      <c r="D29" s="112" t="n"/>
      <c r="E29" s="112" t="n"/>
      <c r="F29" s="112" t="n"/>
      <c r="G29" s="112" t="n"/>
      <c r="H29" s="112" t="n"/>
      <c r="I29" s="112" t="n"/>
      <c r="J29" s="112" t="n"/>
      <c r="K29" s="112" t="n"/>
      <c r="L29" s="112" t="n"/>
      <c r="M29" s="112" t="n"/>
      <c r="N29" s="113" t="n"/>
    </row>
  </sheetData>
  <mergeCells count="104">
    <mergeCell ref="A9:N9"/>
    <mergeCell ref="G21:H21"/>
    <mergeCell ref="C6:D6"/>
    <mergeCell ref="A15:B15"/>
    <mergeCell ref="C15:D15"/>
    <mergeCell ref="A7:B7"/>
    <mergeCell ref="I16:J16"/>
    <mergeCell ref="G18:H18"/>
    <mergeCell ref="I18:J18"/>
    <mergeCell ref="H25:N25"/>
    <mergeCell ref="A17:B17"/>
    <mergeCell ref="C17:D17"/>
    <mergeCell ref="A22:B22"/>
    <mergeCell ref="G20:H20"/>
    <mergeCell ref="J3:N3"/>
    <mergeCell ref="I20:J20"/>
    <mergeCell ref="A19:B19"/>
    <mergeCell ref="C19:D19"/>
    <mergeCell ref="A26:G26"/>
    <mergeCell ref="E22:F22"/>
    <mergeCell ref="I13:J13"/>
    <mergeCell ref="G22:H22"/>
    <mergeCell ref="K13:L13"/>
    <mergeCell ref="E12:F12"/>
    <mergeCell ref="G12:H12"/>
    <mergeCell ref="I6:J6"/>
    <mergeCell ref="I15:J15"/>
    <mergeCell ref="A11:B11"/>
    <mergeCell ref="K15:L15"/>
    <mergeCell ref="C14:D14"/>
    <mergeCell ref="E14:F14"/>
    <mergeCell ref="A1:N1"/>
    <mergeCell ref="K21:L21"/>
    <mergeCell ref="G7:H7"/>
    <mergeCell ref="I7:J7"/>
    <mergeCell ref="M7:N7"/>
    <mergeCell ref="A5:N5"/>
    <mergeCell ref="I17:J17"/>
    <mergeCell ref="K17:L17"/>
    <mergeCell ref="E16:F16"/>
    <mergeCell ref="G16:H16"/>
    <mergeCell ref="I10:J10"/>
    <mergeCell ref="A10:B10"/>
    <mergeCell ref="K10:L10"/>
    <mergeCell ref="I19:J19"/>
    <mergeCell ref="K19:L19"/>
    <mergeCell ref="C18:D18"/>
    <mergeCell ref="K6:L6"/>
    <mergeCell ref="E18:F18"/>
    <mergeCell ref="K16:L16"/>
    <mergeCell ref="A24:N24"/>
    <mergeCell ref="G11:H11"/>
    <mergeCell ref="I11:J11"/>
    <mergeCell ref="C20:D20"/>
    <mergeCell ref="K11:L11"/>
    <mergeCell ref="E20:F20"/>
    <mergeCell ref="E13:F13"/>
    <mergeCell ref="C22:D22"/>
    <mergeCell ref="G13:H13"/>
    <mergeCell ref="A12:B12"/>
    <mergeCell ref="I21:J21"/>
    <mergeCell ref="C12:D12"/>
    <mergeCell ref="A21:B21"/>
    <mergeCell ref="E6:F6"/>
    <mergeCell ref="C21:D21"/>
    <mergeCell ref="E15:F15"/>
    <mergeCell ref="G15:H15"/>
    <mergeCell ref="A2:N2"/>
    <mergeCell ref="A14:B14"/>
    <mergeCell ref="A25:G25"/>
    <mergeCell ref="K7:L7"/>
    <mergeCell ref="C7:D7"/>
    <mergeCell ref="E7:F7"/>
    <mergeCell ref="A29:N29"/>
    <mergeCell ref="K18:L18"/>
    <mergeCell ref="E17:F17"/>
    <mergeCell ref="A6:B6"/>
    <mergeCell ref="G17:H17"/>
    <mergeCell ref="A16:B16"/>
    <mergeCell ref="K20:L20"/>
    <mergeCell ref="C10:D10"/>
    <mergeCell ref="C16:D16"/>
    <mergeCell ref="E10:F10"/>
    <mergeCell ref="G10:H10"/>
    <mergeCell ref="E19:F19"/>
    <mergeCell ref="H26:N26"/>
    <mergeCell ref="G19:H19"/>
    <mergeCell ref="G6:H6"/>
    <mergeCell ref="I22:J22"/>
    <mergeCell ref="A18:B18"/>
    <mergeCell ref="K22:L22"/>
    <mergeCell ref="I12:J12"/>
    <mergeCell ref="K12:L12"/>
    <mergeCell ref="M6:N6"/>
    <mergeCell ref="C11:D11"/>
    <mergeCell ref="E11:F11"/>
    <mergeCell ref="G14:H14"/>
    <mergeCell ref="I14:J14"/>
    <mergeCell ref="K14:L14"/>
    <mergeCell ref="A20:B20"/>
    <mergeCell ref="A13:B13"/>
    <mergeCell ref="C13:D13"/>
    <mergeCell ref="A28:N28"/>
    <mergeCell ref="E21:F21"/>
  </mergeCells>
  <dataValidations count="2">
    <dataValidation sqref="C3" showDropDown="0" showInputMessage="0" showErrorMessage="0" allowBlank="1" type="list">
      <formula1>"Week 1,Week 2,Week 3,Week 4,Week 5,Week 6,Week 7,Week 8,Week 9,Week 10,Week 11,Week 12,Week 13,Week 14,Week 15,Week 16,Week 17,Week 18,Week 19,Week 20,Week 21,Week 22,Week 23,Week 24,Week 25,Week 26,Week 27,Week 28,Week 29,Week 30,Week 31,Week 32,Week 33,Week 34,Week 35,Week 36,Week 37,Week 38,Week 39,Week 40,Week 41,Week 42,Week 43,Week 44,Week 45,Week 46,Week 47,Week 48,Week 49,Week 50,Week 51,Week 52,Week 53"</formula1>
    </dataValidation>
    <dataValidation sqref="G3" showDropDown="0" showInputMessage="0" showErrorMessage="0" allowBlank="1" type="list">
      <formula1>"2024,2025,2026,2027,2028,2029,2030"</formula1>
    </dataValidation>
  </dataValidations>
  <pageMargins left="0.75" right="0.75" top="1" bottom="1" header="0.5" footer="0.5"/>
  <pageSetup orientation="landscape" paperSize="9" fitToHeight="0" fitToWidth="1"/>
</worksheet>
</file>

<file path=xl/worksheets/sheet9.xml><?xml version="1.0" encoding="utf-8"?>
<worksheet xmlns="http://schemas.openxmlformats.org/spreadsheetml/2006/main">
  <sheetPr>
    <tabColor rgb="00F4B942"/>
    <outlinePr summaryBelow="1" summaryRight="1"/>
    <pageSetUpPr/>
  </sheetPr>
  <dimension ref="A1:P30"/>
  <sheetViews>
    <sheetView showGridLines="0" workbookViewId="0">
      <selection activeCell="A1" sqref="A1"/>
    </sheetView>
  </sheetViews>
  <sheetFormatPr baseColWidth="8" defaultRowHeight="15"/>
  <cols>
    <col width="24" customWidth="1" min="1" max="1"/>
    <col width="4" customWidth="1" min="2" max="2"/>
    <col width="14" customWidth="1" min="3" max="3"/>
    <col width="4" customWidth="1" min="4" max="4"/>
    <col width="12" customWidth="1" min="5" max="5"/>
    <col width="4" customWidth="1" min="6" max="6"/>
    <col width="12" customWidth="1" min="7" max="7"/>
    <col width="4" customWidth="1" min="8" max="8"/>
    <col width="12" customWidth="1" min="9" max="9"/>
    <col width="4" customWidth="1" min="10" max="10"/>
    <col width="12" customWidth="1" min="11" max="11"/>
    <col width="4" customWidth="1" min="12" max="12"/>
    <col width="14" customWidth="1" min="13" max="13"/>
    <col width="18" customWidth="1" min="14" max="14"/>
    <col width="20" customWidth="1" min="15" max="15"/>
  </cols>
  <sheetData>
    <row r="1" ht="38" customHeight="1">
      <c r="A1" s="44" t="inlineStr">
        <is>
          <t>📆  MONTHLY SUPPORT REPORT</t>
        </is>
      </c>
    </row>
    <row r="2" ht="18" customHeight="1">
      <c r="A2" s="104" t="inlineStr">
        <is>
          <t>Monthly summary across all departments. Select Month and Year.</t>
        </is>
      </c>
    </row>
    <row r="3" ht="26" customHeight="1">
      <c r="A3" s="85" t="inlineStr">
        <is>
          <t>Select Month:</t>
        </is>
      </c>
      <c r="C3" s="105" t="inlineStr"/>
      <c r="E3" s="85" t="inlineStr">
        <is>
          <t>Year:</t>
        </is>
      </c>
      <c r="G3" s="105" t="inlineStr"/>
      <c r="I3" s="85" t="inlineStr">
        <is>
          <t>Client:</t>
        </is>
      </c>
      <c r="J3" s="106">
        <f>'📋 Site Cover'!C4</f>
        <v/>
      </c>
      <c r="K3" s="147" t="n"/>
      <c r="L3" s="147" t="n"/>
      <c r="M3" s="147" t="n"/>
      <c r="N3" s="147" t="n"/>
    </row>
    <row r="4" ht="8" customHeight="1"/>
    <row r="5" ht="24" customHeight="1">
      <c r="A5" s="34" t="inlineStr">
        <is>
          <t>MONTHLY KEY METRICS</t>
        </is>
      </c>
    </row>
    <row r="6" ht="22" customHeight="1">
      <c r="A6" s="88" t="inlineStr">
        <is>
          <t>Total Issues</t>
        </is>
      </c>
      <c r="B6" s="113" t="n"/>
      <c r="C6" s="89" t="inlineStr">
        <is>
          <t>Resolved</t>
        </is>
      </c>
      <c r="D6" s="113" t="n"/>
      <c r="E6" s="90" t="inlineStr">
        <is>
          <t>Unresolved</t>
        </is>
      </c>
      <c r="F6" s="113" t="n"/>
      <c r="G6" s="91" t="inlineStr">
        <is>
          <t>In Progress</t>
        </is>
      </c>
      <c r="H6" s="113" t="n"/>
      <c r="I6" s="90" t="inlineStr">
        <is>
          <t>Critical</t>
        </is>
      </c>
      <c r="J6" s="113" t="n"/>
      <c r="K6" s="92" t="inlineStr">
        <is>
          <t>Parts Cost (KES)</t>
        </is>
      </c>
      <c r="L6" s="113" t="n"/>
      <c r="M6" s="93" t="inlineStr">
        <is>
          <t>Avg Resolution Time</t>
        </is>
      </c>
      <c r="N6" s="113" t="n"/>
    </row>
    <row r="7" ht="36" customHeight="1">
      <c r="A7" s="94">
        <f>COUNTA('📝 Visit Log'!H9:H108)</f>
        <v/>
      </c>
      <c r="B7" s="113" t="n"/>
      <c r="C7" s="95">
        <f>COUNTIF('📝 Visit Log'!L9:L108,"Yes")</f>
        <v/>
      </c>
      <c r="D7" s="113" t="n"/>
      <c r="E7" s="96">
        <f>COUNTIF('📝 Visit Log'!L9:L108,"No")</f>
        <v/>
      </c>
      <c r="F7" s="113" t="n"/>
      <c r="G7" s="97">
        <f>COUNTIF('📝 Visit Log'!K9:K108,"🔄 In Progress")</f>
        <v/>
      </c>
      <c r="H7" s="113" t="n"/>
      <c r="I7" s="96">
        <f>COUNTIF('📝 Visit Log'!Q9:Q108,"🔴 Critical")</f>
        <v/>
      </c>
      <c r="J7" s="113" t="n"/>
      <c r="K7" s="98">
        <f>SUM('📝 Visit Log'!O9:O108)</f>
        <v/>
      </c>
      <c r="L7" s="113" t="n"/>
      <c r="M7" s="99">
        <f>IFERROR(AVERAGE('📝 Visit Log'!M9:M108),0)</f>
        <v/>
      </c>
      <c r="N7" s="113" t="n"/>
    </row>
    <row r="8" ht="8" customHeight="1"/>
    <row r="9" ht="22" customHeight="1">
      <c r="A9" s="34" t="inlineStr">
        <is>
          <t>MONTHLY DEPARTMENT BREAKDOWN</t>
        </is>
      </c>
    </row>
    <row r="10" ht="26" customHeight="1">
      <c r="A10" s="11" t="inlineStr">
        <is>
          <t>Department</t>
        </is>
      </c>
      <c r="B10" s="113" t="n"/>
      <c r="C10" s="11" t="inlineStr">
        <is>
          <t>Total Issues</t>
        </is>
      </c>
      <c r="D10" s="113" t="n"/>
      <c r="E10" s="11" t="inlineStr">
        <is>
          <t>Resolved</t>
        </is>
      </c>
      <c r="F10" s="113" t="n"/>
      <c r="G10" s="11" t="inlineStr">
        <is>
          <t>Unresolved</t>
        </is>
      </c>
      <c r="H10" s="113" t="n"/>
      <c r="I10" s="11" t="inlineStr">
        <is>
          <t>In Progress</t>
        </is>
      </c>
      <c r="J10" s="113" t="n"/>
      <c r="K10" s="11" t="inlineStr">
        <is>
          <t>Critical</t>
        </is>
      </c>
      <c r="L10" s="113" t="n"/>
      <c r="M10" s="11" t="inlineStr">
        <is>
          <t>Parts Cost</t>
        </is>
      </c>
      <c r="N10" s="113" t="n"/>
      <c r="O10" s="11" t="inlineStr">
        <is>
          <t>Further Requests</t>
        </is>
      </c>
      <c r="P10" s="113" t="n"/>
    </row>
    <row r="11" ht="22" customHeight="1">
      <c r="A11" s="100" t="inlineStr">
        <is>
          <t>School</t>
        </is>
      </c>
      <c r="B11" s="115" t="n"/>
      <c r="C11" s="101">
        <f>COUNTIF('📝 Visit Log'!$B$9:$B$108,A11)</f>
        <v/>
      </c>
      <c r="D11" s="115" t="n"/>
      <c r="E11" s="101">
        <f>COUNTIFS('📝 Visit Log'!$B$9:$B$108,A11,'📝 Visit Log'!$L$9:$L$108,"Yes")</f>
        <v/>
      </c>
      <c r="F11" s="115" t="n"/>
      <c r="G11" s="101">
        <f>COUNTIFS('📝 Visit Log'!$B$9:$B$108,A11,'📝 Visit Log'!$L$9:$L$108,"No")</f>
        <v/>
      </c>
      <c r="H11" s="115" t="n"/>
      <c r="I11" s="101">
        <f>COUNTIFS('📝 Visit Log'!$B$9:$B$108,A11,'📝 Visit Log'!$K$9:$K$108,"🔄 In Progress")</f>
        <v/>
      </c>
      <c r="J11" s="115" t="n"/>
      <c r="K11" s="101">
        <f>COUNTIFS('📝 Visit Log'!$B$9:$B$108,A11,'📝 Visit Log'!$Q$9:$Q$108,"🔴 Critical")</f>
        <v/>
      </c>
      <c r="L11" s="115" t="n"/>
      <c r="M11" s="107">
        <f>SUMIF('📝 Visit Log'!$B$9:$B$108,A11,'📝 Visit Log'!$O$9:$O$108)</f>
        <v/>
      </c>
      <c r="N11" s="115" t="n"/>
      <c r="O11" s="101">
        <f>COUNTIFS('📝 Visit Log'!$B$9:$B$108,A11,'📝 Visit Log'!$P$9:$P$108,"&lt;&gt;"&amp;"")</f>
        <v/>
      </c>
      <c r="P11" s="115" t="n"/>
    </row>
    <row r="12" ht="22" customHeight="1">
      <c r="A12" s="108" t="inlineStr">
        <is>
          <t>Homes</t>
        </is>
      </c>
      <c r="B12" s="115" t="n"/>
      <c r="C12" s="109">
        <f>COUNTIF('📝 Visit Log'!$B$9:$B$108,A12)</f>
        <v/>
      </c>
      <c r="D12" s="115" t="n"/>
      <c r="E12" s="109">
        <f>COUNTIFS('📝 Visit Log'!$B$9:$B$108,A12,'📝 Visit Log'!$L$9:$L$108,"Yes")</f>
        <v/>
      </c>
      <c r="F12" s="115" t="n"/>
      <c r="G12" s="109">
        <f>COUNTIFS('📝 Visit Log'!$B$9:$B$108,A12,'📝 Visit Log'!$L$9:$L$108,"No")</f>
        <v/>
      </c>
      <c r="H12" s="115" t="n"/>
      <c r="I12" s="109">
        <f>COUNTIFS('📝 Visit Log'!$B$9:$B$108,A12,'📝 Visit Log'!$K$9:$K$108,"🔄 In Progress")</f>
        <v/>
      </c>
      <c r="J12" s="115" t="n"/>
      <c r="K12" s="109">
        <f>COUNTIFS('📝 Visit Log'!$B$9:$B$108,A12,'📝 Visit Log'!$Q$9:$Q$108,"🔴 Critical")</f>
        <v/>
      </c>
      <c r="L12" s="115" t="n"/>
      <c r="M12" s="110">
        <f>SUMIF('📝 Visit Log'!$B$9:$B$108,A12,'📝 Visit Log'!$O$9:$O$108)</f>
        <v/>
      </c>
      <c r="N12" s="115" t="n"/>
      <c r="O12" s="109">
        <f>COUNTIFS('📝 Visit Log'!$B$9:$B$108,A12,'📝 Visit Log'!$P$9:$P$108,"&lt;&gt;"&amp;"")</f>
        <v/>
      </c>
      <c r="P12" s="115" t="n"/>
    </row>
    <row r="13" ht="22" customHeight="1">
      <c r="A13" s="100" t="inlineStr">
        <is>
          <t>Education</t>
        </is>
      </c>
      <c r="B13" s="115" t="n"/>
      <c r="C13" s="101">
        <f>COUNTIF('📝 Visit Log'!$B$9:$B$108,A13)</f>
        <v/>
      </c>
      <c r="D13" s="115" t="n"/>
      <c r="E13" s="101">
        <f>COUNTIFS('📝 Visit Log'!$B$9:$B$108,A13,'📝 Visit Log'!$L$9:$L$108,"Yes")</f>
        <v/>
      </c>
      <c r="F13" s="115" t="n"/>
      <c r="G13" s="101">
        <f>COUNTIFS('📝 Visit Log'!$B$9:$B$108,A13,'📝 Visit Log'!$L$9:$L$108,"No")</f>
        <v/>
      </c>
      <c r="H13" s="115" t="n"/>
      <c r="I13" s="101">
        <f>COUNTIFS('📝 Visit Log'!$B$9:$B$108,A13,'📝 Visit Log'!$K$9:$K$108,"🔄 In Progress")</f>
        <v/>
      </c>
      <c r="J13" s="115" t="n"/>
      <c r="K13" s="101">
        <f>COUNTIFS('📝 Visit Log'!$B$9:$B$108,A13,'📝 Visit Log'!$Q$9:$Q$108,"🔴 Critical")</f>
        <v/>
      </c>
      <c r="L13" s="115" t="n"/>
      <c r="M13" s="107">
        <f>SUMIF('📝 Visit Log'!$B$9:$B$108,A13,'📝 Visit Log'!$O$9:$O$108)</f>
        <v/>
      </c>
      <c r="N13" s="115" t="n"/>
      <c r="O13" s="101">
        <f>COUNTIFS('📝 Visit Log'!$B$9:$B$108,A13,'📝 Visit Log'!$P$9:$P$108,"&lt;&gt;"&amp;"")</f>
        <v/>
      </c>
      <c r="P13" s="115" t="n"/>
    </row>
    <row r="14" ht="22" customHeight="1">
      <c r="A14" s="108" t="inlineStr">
        <is>
          <t>Finance</t>
        </is>
      </c>
      <c r="B14" s="115" t="n"/>
      <c r="C14" s="109">
        <f>COUNTIF('📝 Visit Log'!$B$9:$B$108,A14)</f>
        <v/>
      </c>
      <c r="D14" s="115" t="n"/>
      <c r="E14" s="109">
        <f>COUNTIFS('📝 Visit Log'!$B$9:$B$108,A14,'📝 Visit Log'!$L$9:$L$108,"Yes")</f>
        <v/>
      </c>
      <c r="F14" s="115" t="n"/>
      <c r="G14" s="109">
        <f>COUNTIFS('📝 Visit Log'!$B$9:$B$108,A14,'📝 Visit Log'!$L$9:$L$108,"No")</f>
        <v/>
      </c>
      <c r="H14" s="115" t="n"/>
      <c r="I14" s="109">
        <f>COUNTIFS('📝 Visit Log'!$B$9:$B$108,A14,'📝 Visit Log'!$K$9:$K$108,"🔄 In Progress")</f>
        <v/>
      </c>
      <c r="J14" s="115" t="n"/>
      <c r="K14" s="109">
        <f>COUNTIFS('📝 Visit Log'!$B$9:$B$108,A14,'📝 Visit Log'!$Q$9:$Q$108,"🔴 Critical")</f>
        <v/>
      </c>
      <c r="L14" s="115" t="n"/>
      <c r="M14" s="110">
        <f>SUMIF('📝 Visit Log'!$B$9:$B$108,A14,'📝 Visit Log'!$O$9:$O$108)</f>
        <v/>
      </c>
      <c r="N14" s="115" t="n"/>
      <c r="O14" s="109">
        <f>COUNTIFS('📝 Visit Log'!$B$9:$B$108,A14,'📝 Visit Log'!$P$9:$P$108,"&lt;&gt;"&amp;"")</f>
        <v/>
      </c>
      <c r="P14" s="115" t="n"/>
    </row>
    <row r="15" ht="22" customHeight="1">
      <c r="A15" s="100" t="inlineStr">
        <is>
          <t>Procurement</t>
        </is>
      </c>
      <c r="B15" s="115" t="n"/>
      <c r="C15" s="101">
        <f>COUNTIF('📝 Visit Log'!$B$9:$B$108,A15)</f>
        <v/>
      </c>
      <c r="D15" s="115" t="n"/>
      <c r="E15" s="101">
        <f>COUNTIFS('📝 Visit Log'!$B$9:$B$108,A15,'📝 Visit Log'!$L$9:$L$108,"Yes")</f>
        <v/>
      </c>
      <c r="F15" s="115" t="n"/>
      <c r="G15" s="101">
        <f>COUNTIFS('📝 Visit Log'!$B$9:$B$108,A15,'📝 Visit Log'!$L$9:$L$108,"No")</f>
        <v/>
      </c>
      <c r="H15" s="115" t="n"/>
      <c r="I15" s="101">
        <f>COUNTIFS('📝 Visit Log'!$B$9:$B$108,A15,'📝 Visit Log'!$K$9:$K$108,"🔄 In Progress")</f>
        <v/>
      </c>
      <c r="J15" s="115" t="n"/>
      <c r="K15" s="101">
        <f>COUNTIFS('📝 Visit Log'!$B$9:$B$108,A15,'📝 Visit Log'!$Q$9:$Q$108,"🔴 Critical")</f>
        <v/>
      </c>
      <c r="L15" s="115" t="n"/>
      <c r="M15" s="107">
        <f>SUMIF('📝 Visit Log'!$B$9:$B$108,A15,'📝 Visit Log'!$O$9:$O$108)</f>
        <v/>
      </c>
      <c r="N15" s="115" t="n"/>
      <c r="O15" s="101">
        <f>COUNTIFS('📝 Visit Log'!$B$9:$B$108,A15,'📝 Visit Log'!$P$9:$P$108,"&lt;&gt;"&amp;"")</f>
        <v/>
      </c>
      <c r="P15" s="115" t="n"/>
    </row>
    <row r="16" ht="22" customHeight="1">
      <c r="A16" s="108" t="inlineStr">
        <is>
          <t>Farm &amp; Business</t>
        </is>
      </c>
      <c r="B16" s="115" t="n"/>
      <c r="C16" s="109">
        <f>COUNTIF('📝 Visit Log'!$B$9:$B$108,A16)</f>
        <v/>
      </c>
      <c r="D16" s="115" t="n"/>
      <c r="E16" s="109">
        <f>COUNTIFS('📝 Visit Log'!$B$9:$B$108,A16,'📝 Visit Log'!$L$9:$L$108,"Yes")</f>
        <v/>
      </c>
      <c r="F16" s="115" t="n"/>
      <c r="G16" s="109">
        <f>COUNTIFS('📝 Visit Log'!$B$9:$B$108,A16,'📝 Visit Log'!$L$9:$L$108,"No")</f>
        <v/>
      </c>
      <c r="H16" s="115" t="n"/>
      <c r="I16" s="109">
        <f>COUNTIFS('📝 Visit Log'!$B$9:$B$108,A16,'📝 Visit Log'!$K$9:$K$108,"🔄 In Progress")</f>
        <v/>
      </c>
      <c r="J16" s="115" t="n"/>
      <c r="K16" s="109">
        <f>COUNTIFS('📝 Visit Log'!$B$9:$B$108,A16,'📝 Visit Log'!$Q$9:$Q$108,"🔴 Critical")</f>
        <v/>
      </c>
      <c r="L16" s="115" t="n"/>
      <c r="M16" s="110">
        <f>SUMIF('📝 Visit Log'!$B$9:$B$108,A16,'📝 Visit Log'!$O$9:$O$108)</f>
        <v/>
      </c>
      <c r="N16" s="115" t="n"/>
      <c r="O16" s="109">
        <f>COUNTIFS('📝 Visit Log'!$B$9:$B$108,A16,'📝 Visit Log'!$P$9:$P$108,"&lt;&gt;"&amp;"")</f>
        <v/>
      </c>
      <c r="P16" s="115" t="n"/>
    </row>
    <row r="17" ht="22" customHeight="1">
      <c r="A17" s="100" t="inlineStr">
        <is>
          <t>Clinic</t>
        </is>
      </c>
      <c r="B17" s="115" t="n"/>
      <c r="C17" s="101">
        <f>COUNTIF('📝 Visit Log'!$B$9:$B$108,A17)</f>
        <v/>
      </c>
      <c r="D17" s="115" t="n"/>
      <c r="E17" s="101">
        <f>COUNTIFS('📝 Visit Log'!$B$9:$B$108,A17,'📝 Visit Log'!$L$9:$L$108,"Yes")</f>
        <v/>
      </c>
      <c r="F17" s="115" t="n"/>
      <c r="G17" s="101">
        <f>COUNTIFS('📝 Visit Log'!$B$9:$B$108,A17,'📝 Visit Log'!$L$9:$L$108,"No")</f>
        <v/>
      </c>
      <c r="H17" s="115" t="n"/>
      <c r="I17" s="101">
        <f>COUNTIFS('📝 Visit Log'!$B$9:$B$108,A17,'📝 Visit Log'!$K$9:$K$108,"🔄 In Progress")</f>
        <v/>
      </c>
      <c r="J17" s="115" t="n"/>
      <c r="K17" s="101">
        <f>COUNTIFS('📝 Visit Log'!$B$9:$B$108,A17,'📝 Visit Log'!$Q$9:$Q$108,"🔴 Critical")</f>
        <v/>
      </c>
      <c r="L17" s="115" t="n"/>
      <c r="M17" s="107">
        <f>SUMIF('📝 Visit Log'!$B$9:$B$108,A17,'📝 Visit Log'!$O$9:$O$108)</f>
        <v/>
      </c>
      <c r="N17" s="115" t="n"/>
      <c r="O17" s="101">
        <f>COUNTIFS('📝 Visit Log'!$B$9:$B$108,A17,'📝 Visit Log'!$P$9:$P$108,"&lt;&gt;"&amp;"")</f>
        <v/>
      </c>
      <c r="P17" s="115" t="n"/>
    </row>
    <row r="18" ht="22" customHeight="1">
      <c r="A18" s="108" t="inlineStr">
        <is>
          <t>HR</t>
        </is>
      </c>
      <c r="B18" s="115" t="n"/>
      <c r="C18" s="109">
        <f>COUNTIF('📝 Visit Log'!$B$9:$B$108,A18)</f>
        <v/>
      </c>
      <c r="D18" s="115" t="n"/>
      <c r="E18" s="109">
        <f>COUNTIFS('📝 Visit Log'!$B$9:$B$108,A18,'📝 Visit Log'!$L$9:$L$108,"Yes")</f>
        <v/>
      </c>
      <c r="F18" s="115" t="n"/>
      <c r="G18" s="109">
        <f>COUNTIFS('📝 Visit Log'!$B$9:$B$108,A18,'📝 Visit Log'!$L$9:$L$108,"No")</f>
        <v/>
      </c>
      <c r="H18" s="115" t="n"/>
      <c r="I18" s="109">
        <f>COUNTIFS('📝 Visit Log'!$B$9:$B$108,A18,'📝 Visit Log'!$K$9:$K$108,"🔄 In Progress")</f>
        <v/>
      </c>
      <c r="J18" s="115" t="n"/>
      <c r="K18" s="109">
        <f>COUNTIFS('📝 Visit Log'!$B$9:$B$108,A18,'📝 Visit Log'!$Q$9:$Q$108,"🔴 Critical")</f>
        <v/>
      </c>
      <c r="L18" s="115" t="n"/>
      <c r="M18" s="110">
        <f>SUMIF('📝 Visit Log'!$B$9:$B$108,A18,'📝 Visit Log'!$O$9:$O$108)</f>
        <v/>
      </c>
      <c r="N18" s="115" t="n"/>
      <c r="O18" s="109">
        <f>COUNTIFS('📝 Visit Log'!$B$9:$B$108,A18,'📝 Visit Log'!$P$9:$P$108,"&lt;&gt;"&amp;"")</f>
        <v/>
      </c>
      <c r="P18" s="115" t="n"/>
    </row>
    <row r="19" ht="22" customHeight="1">
      <c r="A19" s="100" t="inlineStr">
        <is>
          <t>Church</t>
        </is>
      </c>
      <c r="B19" s="115" t="n"/>
      <c r="C19" s="101">
        <f>COUNTIF('📝 Visit Log'!$B$9:$B$108,A19)</f>
        <v/>
      </c>
      <c r="D19" s="115" t="n"/>
      <c r="E19" s="101">
        <f>COUNTIFS('📝 Visit Log'!$B$9:$B$108,A19,'📝 Visit Log'!$L$9:$L$108,"Yes")</f>
        <v/>
      </c>
      <c r="F19" s="115" t="n"/>
      <c r="G19" s="101">
        <f>COUNTIFS('📝 Visit Log'!$B$9:$B$108,A19,'📝 Visit Log'!$L$9:$L$108,"No")</f>
        <v/>
      </c>
      <c r="H19" s="115" t="n"/>
      <c r="I19" s="101">
        <f>COUNTIFS('📝 Visit Log'!$B$9:$B$108,A19,'📝 Visit Log'!$K$9:$K$108,"🔄 In Progress")</f>
        <v/>
      </c>
      <c r="J19" s="115" t="n"/>
      <c r="K19" s="101">
        <f>COUNTIFS('📝 Visit Log'!$B$9:$B$108,A19,'📝 Visit Log'!$Q$9:$Q$108,"🔴 Critical")</f>
        <v/>
      </c>
      <c r="L19" s="115" t="n"/>
      <c r="M19" s="107">
        <f>SUMIF('📝 Visit Log'!$B$9:$B$108,A19,'📝 Visit Log'!$O$9:$O$108)</f>
        <v/>
      </c>
      <c r="N19" s="115" t="n"/>
      <c r="O19" s="101">
        <f>COUNTIFS('📝 Visit Log'!$B$9:$B$108,A19,'📝 Visit Log'!$P$9:$P$108,"&lt;&gt;"&amp;"")</f>
        <v/>
      </c>
      <c r="P19" s="115" t="n"/>
    </row>
    <row r="20" ht="22" customHeight="1">
      <c r="A20" s="108" t="inlineStr">
        <is>
          <t>Admin</t>
        </is>
      </c>
      <c r="B20" s="115" t="n"/>
      <c r="C20" s="109">
        <f>COUNTIF('📝 Visit Log'!$B$9:$B$108,A20)</f>
        <v/>
      </c>
      <c r="D20" s="115" t="n"/>
      <c r="E20" s="109">
        <f>COUNTIFS('📝 Visit Log'!$B$9:$B$108,A20,'📝 Visit Log'!$L$9:$L$108,"Yes")</f>
        <v/>
      </c>
      <c r="F20" s="115" t="n"/>
      <c r="G20" s="109">
        <f>COUNTIFS('📝 Visit Log'!$B$9:$B$108,A20,'📝 Visit Log'!$L$9:$L$108,"No")</f>
        <v/>
      </c>
      <c r="H20" s="115" t="n"/>
      <c r="I20" s="109">
        <f>COUNTIFS('📝 Visit Log'!$B$9:$B$108,A20,'📝 Visit Log'!$K$9:$K$108,"🔄 In Progress")</f>
        <v/>
      </c>
      <c r="J20" s="115" t="n"/>
      <c r="K20" s="109">
        <f>COUNTIFS('📝 Visit Log'!$B$9:$B$108,A20,'📝 Visit Log'!$Q$9:$Q$108,"🔴 Critical")</f>
        <v/>
      </c>
      <c r="L20" s="115" t="n"/>
      <c r="M20" s="110">
        <f>SUMIF('📝 Visit Log'!$B$9:$B$108,A20,'📝 Visit Log'!$O$9:$O$108)</f>
        <v/>
      </c>
      <c r="N20" s="115" t="n"/>
      <c r="O20" s="109">
        <f>COUNTIFS('📝 Visit Log'!$B$9:$B$108,A20,'📝 Visit Log'!$P$9:$P$108,"&lt;&gt;"&amp;"")</f>
        <v/>
      </c>
      <c r="P20" s="115" t="n"/>
    </row>
    <row r="21" ht="22" customHeight="1">
      <c r="A21" s="100" t="inlineStr">
        <is>
          <t>Teams &amp; Guests</t>
        </is>
      </c>
      <c r="B21" s="115" t="n"/>
      <c r="C21" s="101">
        <f>COUNTIF('📝 Visit Log'!$B$9:$B$108,A21)</f>
        <v/>
      </c>
      <c r="D21" s="115" t="n"/>
      <c r="E21" s="101">
        <f>COUNTIFS('📝 Visit Log'!$B$9:$B$108,A21,'📝 Visit Log'!$L$9:$L$108,"Yes")</f>
        <v/>
      </c>
      <c r="F21" s="115" t="n"/>
      <c r="G21" s="101">
        <f>COUNTIFS('📝 Visit Log'!$B$9:$B$108,A21,'📝 Visit Log'!$L$9:$L$108,"No")</f>
        <v/>
      </c>
      <c r="H21" s="115" t="n"/>
      <c r="I21" s="101">
        <f>COUNTIFS('📝 Visit Log'!$B$9:$B$108,A21,'📝 Visit Log'!$K$9:$K$108,"🔄 In Progress")</f>
        <v/>
      </c>
      <c r="J21" s="115" t="n"/>
      <c r="K21" s="101">
        <f>COUNTIFS('📝 Visit Log'!$B$9:$B$108,A21,'📝 Visit Log'!$Q$9:$Q$108,"🔴 Critical")</f>
        <v/>
      </c>
      <c r="L21" s="115" t="n"/>
      <c r="M21" s="107">
        <f>SUMIF('📝 Visit Log'!$B$9:$B$108,A21,'📝 Visit Log'!$O$9:$O$108)</f>
        <v/>
      </c>
      <c r="N21" s="115" t="n"/>
      <c r="O21" s="101">
        <f>COUNTIFS('📝 Visit Log'!$B$9:$B$108,A21,'📝 Visit Log'!$P$9:$P$108,"&lt;&gt;"&amp;"")</f>
        <v/>
      </c>
      <c r="P21" s="115" t="n"/>
    </row>
    <row r="22" ht="22" customHeight="1">
      <c r="A22" s="108" t="inlineStr">
        <is>
          <t>Central Kitchen</t>
        </is>
      </c>
      <c r="B22" s="115" t="n"/>
      <c r="C22" s="109">
        <f>COUNTIF('📝 Visit Log'!$B$9:$B$108,A22)</f>
        <v/>
      </c>
      <c r="D22" s="115" t="n"/>
      <c r="E22" s="109">
        <f>COUNTIFS('📝 Visit Log'!$B$9:$B$108,A22,'📝 Visit Log'!$L$9:$L$108,"Yes")</f>
        <v/>
      </c>
      <c r="F22" s="115" t="n"/>
      <c r="G22" s="109">
        <f>COUNTIFS('📝 Visit Log'!$B$9:$B$108,A22,'📝 Visit Log'!$L$9:$L$108,"No")</f>
        <v/>
      </c>
      <c r="H22" s="115" t="n"/>
      <c r="I22" s="109">
        <f>COUNTIFS('📝 Visit Log'!$B$9:$B$108,A22,'📝 Visit Log'!$K$9:$K$108,"🔄 In Progress")</f>
        <v/>
      </c>
      <c r="J22" s="115" t="n"/>
      <c r="K22" s="109">
        <f>COUNTIFS('📝 Visit Log'!$B$9:$B$108,A22,'📝 Visit Log'!$Q$9:$Q$108,"🔴 Critical")</f>
        <v/>
      </c>
      <c r="L22" s="115" t="n"/>
      <c r="M22" s="110">
        <f>SUMIF('📝 Visit Log'!$B$9:$B$108,A22,'📝 Visit Log'!$O$9:$O$108)</f>
        <v/>
      </c>
      <c r="N22" s="115" t="n"/>
      <c r="O22" s="109">
        <f>COUNTIFS('📝 Visit Log'!$B$9:$B$108,A22,'📝 Visit Log'!$P$9:$P$108,"&lt;&gt;"&amp;"")</f>
        <v/>
      </c>
      <c r="P22" s="115" t="n"/>
    </row>
    <row r="23" ht="24" customHeight="1">
      <c r="A23" s="11" t="inlineStr">
        <is>
          <t>TOTAL</t>
        </is>
      </c>
      <c r="B23" s="113" t="n"/>
      <c r="C23" s="11">
        <f>SUM(C11:C22)</f>
        <v/>
      </c>
      <c r="D23" s="113" t="n"/>
      <c r="E23" s="11">
        <f>SUM(E11:E22)</f>
        <v/>
      </c>
      <c r="F23" s="113" t="n"/>
      <c r="G23" s="11">
        <f>SUM(G11:G22)</f>
        <v/>
      </c>
      <c r="H23" s="113" t="n"/>
      <c r="I23" s="11">
        <f>SUM(I11:I22)</f>
        <v/>
      </c>
      <c r="J23" s="113" t="n"/>
      <c r="K23" s="11">
        <f>SUM(K11:K22)</f>
        <v/>
      </c>
      <c r="L23" s="113" t="n"/>
      <c r="M23" s="111">
        <f>SUM(M11:M22)</f>
        <v/>
      </c>
      <c r="N23" s="113" t="n"/>
      <c r="O23" s="11">
        <f>SUM(O11:O22)</f>
        <v/>
      </c>
      <c r="P23" s="113" t="n"/>
    </row>
    <row r="24" ht="8" customHeight="1"/>
    <row r="25" ht="20" customHeight="1">
      <c r="A25" s="36" t="inlineStr">
        <is>
          <t>━━  REPORT ACKNOWLEDGEMENT &amp; SIGN-OFF  ━━</t>
        </is>
      </c>
    </row>
    <row r="26" ht="20" customHeight="1">
      <c r="A26" s="37" t="inlineStr">
        <is>
          <t>🔧  TECHNICIAN / ENGINEER</t>
        </is>
      </c>
      <c r="H26" s="38" t="inlineStr">
        <is>
          <t>✅  CLIENT / ADMIN COUNTER-SIGNATURE</t>
        </is>
      </c>
    </row>
    <row r="27" ht="50" customHeight="1">
      <c r="A27" s="39" t="inlineStr">
        <is>
          <t>Name:      ___________________________
Signature: ___________________________
Date:      _______________</t>
        </is>
      </c>
      <c r="B27" s="112" t="n"/>
      <c r="C27" s="112" t="n"/>
      <c r="D27" s="112" t="n"/>
      <c r="E27" s="112" t="n"/>
      <c r="F27" s="112" t="n"/>
      <c r="G27" s="113" t="n"/>
      <c r="H27" s="40" t="inlineStr">
        <is>
          <t>Name:        ___________________________
Designation: ___________________________
Signature:   ___________________________
Date:        _______________</t>
        </is>
      </c>
      <c r="I27" s="112" t="n"/>
      <c r="J27" s="112" t="n"/>
      <c r="K27" s="112" t="n"/>
      <c r="L27" s="112" t="n"/>
      <c r="M27" s="112" t="n"/>
      <c r="N27" s="113" t="n"/>
    </row>
    <row r="28" ht="50" customHeight="1"/>
    <row r="29" ht="20" customHeight="1">
      <c r="A29" s="41" t="inlineStr">
        <is>
          <t>DECLARATION</t>
        </is>
      </c>
    </row>
    <row r="30" ht="30" customHeight="1">
      <c r="A30" s="42" t="inlineStr">
        <is>
          <t>I/We confirm that issues, actions and findings documented in this report are accurate and reflect the work carried out during this visit. Outstanding items have been communicated. Both parties agree to the contents of this report.</t>
        </is>
      </c>
      <c r="B30" s="112" t="n"/>
      <c r="C30" s="112" t="n"/>
      <c r="D30" s="112" t="n"/>
      <c r="E30" s="112" t="n"/>
      <c r="F30" s="112" t="n"/>
      <c r="G30" s="112" t="n"/>
      <c r="H30" s="112" t="n"/>
      <c r="I30" s="112" t="n"/>
      <c r="J30" s="112" t="n"/>
      <c r="K30" s="112" t="n"/>
      <c r="L30" s="112" t="n"/>
      <c r="M30" s="112" t="n"/>
      <c r="N30" s="113" t="n"/>
    </row>
  </sheetData>
  <mergeCells count="138">
    <mergeCell ref="A9:N9"/>
    <mergeCell ref="G21:H21"/>
    <mergeCell ref="C6:D6"/>
    <mergeCell ref="A15:B15"/>
    <mergeCell ref="C15:D15"/>
    <mergeCell ref="A30:N30"/>
    <mergeCell ref="O15:P15"/>
    <mergeCell ref="E23:F23"/>
    <mergeCell ref="G23:H23"/>
    <mergeCell ref="A7:B7"/>
    <mergeCell ref="I16:J16"/>
    <mergeCell ref="M10:N10"/>
    <mergeCell ref="G18:H18"/>
    <mergeCell ref="I18:J18"/>
    <mergeCell ref="M16:N16"/>
    <mergeCell ref="O16:P16"/>
    <mergeCell ref="M18:N18"/>
    <mergeCell ref="A17:B17"/>
    <mergeCell ref="C17:D17"/>
    <mergeCell ref="A22:B22"/>
    <mergeCell ref="M17:N17"/>
    <mergeCell ref="O17:P17"/>
    <mergeCell ref="G20:H20"/>
    <mergeCell ref="J3:N3"/>
    <mergeCell ref="O11:P11"/>
    <mergeCell ref="I20:J20"/>
    <mergeCell ref="A19:B19"/>
    <mergeCell ref="C19:D19"/>
    <mergeCell ref="A26:G26"/>
    <mergeCell ref="M19:N19"/>
    <mergeCell ref="E22:F22"/>
    <mergeCell ref="I13:J13"/>
    <mergeCell ref="G22:H22"/>
    <mergeCell ref="K13:L13"/>
    <mergeCell ref="E12:F12"/>
    <mergeCell ref="G12:H12"/>
    <mergeCell ref="I6:J6"/>
    <mergeCell ref="I15:J15"/>
    <mergeCell ref="A11:B11"/>
    <mergeCell ref="K15:L15"/>
    <mergeCell ref="C14:D14"/>
    <mergeCell ref="E14:F14"/>
    <mergeCell ref="A1:N1"/>
    <mergeCell ref="K21:L21"/>
    <mergeCell ref="G7:H7"/>
    <mergeCell ref="I7:J7"/>
    <mergeCell ref="M13:N13"/>
    <mergeCell ref="M7:N7"/>
    <mergeCell ref="M21:N21"/>
    <mergeCell ref="O21:P21"/>
    <mergeCell ref="A5:N5"/>
    <mergeCell ref="I17:J17"/>
    <mergeCell ref="K17:L17"/>
    <mergeCell ref="E16:F16"/>
    <mergeCell ref="G16:H16"/>
    <mergeCell ref="I10:J10"/>
    <mergeCell ref="A10:B10"/>
    <mergeCell ref="K10:L10"/>
    <mergeCell ref="I19:J19"/>
    <mergeCell ref="K19:L19"/>
    <mergeCell ref="C18:D18"/>
    <mergeCell ref="K6:L6"/>
    <mergeCell ref="E18:F18"/>
    <mergeCell ref="K16:L16"/>
    <mergeCell ref="O19:P19"/>
    <mergeCell ref="G11:H11"/>
    <mergeCell ref="I11:J11"/>
    <mergeCell ref="C20:D20"/>
    <mergeCell ref="K11:L11"/>
    <mergeCell ref="E20:F20"/>
    <mergeCell ref="M11:N11"/>
    <mergeCell ref="O20:P20"/>
    <mergeCell ref="A25:N25"/>
    <mergeCell ref="E13:F13"/>
    <mergeCell ref="C22:D22"/>
    <mergeCell ref="G13:H13"/>
    <mergeCell ref="O22:P22"/>
    <mergeCell ref="A12:B12"/>
    <mergeCell ref="I21:J21"/>
    <mergeCell ref="C12:D12"/>
    <mergeCell ref="A21:B21"/>
    <mergeCell ref="E6:F6"/>
    <mergeCell ref="M15:N15"/>
    <mergeCell ref="C21:D21"/>
    <mergeCell ref="M12:N12"/>
    <mergeCell ref="E15:F15"/>
    <mergeCell ref="G15:H15"/>
    <mergeCell ref="A2:N2"/>
    <mergeCell ref="A14:B14"/>
    <mergeCell ref="I23:J23"/>
    <mergeCell ref="A23:B23"/>
    <mergeCell ref="K23:L23"/>
    <mergeCell ref="C23:D23"/>
    <mergeCell ref="K7:L7"/>
    <mergeCell ref="C7:D7"/>
    <mergeCell ref="E21:F21"/>
    <mergeCell ref="E7:F7"/>
    <mergeCell ref="M23:N23"/>
    <mergeCell ref="O23:P23"/>
    <mergeCell ref="A29:N29"/>
    <mergeCell ref="K18:L18"/>
    <mergeCell ref="O10:P10"/>
    <mergeCell ref="H27:N27"/>
    <mergeCell ref="O18:P18"/>
    <mergeCell ref="E17:F17"/>
    <mergeCell ref="A6:B6"/>
    <mergeCell ref="G17:H17"/>
    <mergeCell ref="A16:B16"/>
    <mergeCell ref="K20:L20"/>
    <mergeCell ref="C10:D10"/>
    <mergeCell ref="C16:D16"/>
    <mergeCell ref="M20:N20"/>
    <mergeCell ref="E10:F10"/>
    <mergeCell ref="G10:H10"/>
    <mergeCell ref="E19:F19"/>
    <mergeCell ref="H26:N26"/>
    <mergeCell ref="G19:H19"/>
    <mergeCell ref="G6:H6"/>
    <mergeCell ref="I22:J22"/>
    <mergeCell ref="A18:B18"/>
    <mergeCell ref="K22:L22"/>
    <mergeCell ref="M22:N22"/>
    <mergeCell ref="I12:J12"/>
    <mergeCell ref="K12:L12"/>
    <mergeCell ref="M6:N6"/>
    <mergeCell ref="C11:D11"/>
    <mergeCell ref="E11:F11"/>
    <mergeCell ref="G14:H14"/>
    <mergeCell ref="I14:J14"/>
    <mergeCell ref="K14:L14"/>
    <mergeCell ref="O12:P12"/>
    <mergeCell ref="A20:B20"/>
    <mergeCell ref="A27:G27"/>
    <mergeCell ref="M14:N14"/>
    <mergeCell ref="O14:P14"/>
    <mergeCell ref="A13:B13"/>
    <mergeCell ref="C13:D13"/>
    <mergeCell ref="O13:P13"/>
  </mergeCells>
  <dataValidations count="2">
    <dataValidation sqref="C3" showDropDown="0" showInputMessage="0" showErrorMessage="0" allowBlank="1" type="list">
      <formula1>'⚙ Config'!$O$5:$O$16</formula1>
    </dataValidation>
    <dataValidation sqref="G3" showDropDown="0" showInputMessage="0" showErrorMessage="0" allowBlank="1" type="list">
      <formula1>"2024,2025,2026,2027,2028,2029,2030"</formula1>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2026-03-13T14:49:12Z</dcterms:created>
  <dcterms:modified xmlns:dcterms="http://purl.org/dc/terms/" xmlns:xsi="http://www.w3.org/2001/XMLSchema-instance" xsi:type="dcterms:W3CDTF">2026-03-13T14:51:28Z</dcterms:modified>
</cp:coreProperties>
</file>